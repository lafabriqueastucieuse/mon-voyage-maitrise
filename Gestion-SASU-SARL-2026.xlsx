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Démarrer ici" sheetId="2" state="visible" r:id="rId2"/>
    <sheet name="⚙️ Paramètres" sheetId="3" state="visible" r:id="rId3"/>
    <sheet name="📋 Budget" sheetId="4" state="visible" r:id="rId4"/>
    <sheet name="💰 Recettes" sheetId="5" state="visible" r:id="rId5"/>
    <sheet name="💸 Dépenses" sheetId="6" state="visible" r:id="rId6"/>
    <sheet name="📊 Suivi mensuel" sheetId="7" state="visible" r:id="rId7"/>
    <sheet name="🏦 Trésorerie" sheetId="8" state="visible" r:id="rId8"/>
    <sheet name="🧾 TVA &amp; Impôts" sheetId="9" state="visible" r:id="rId9"/>
    <sheet name="📅 Échéancier" sheetId="10" state="visible" r:id="rId10"/>
    <sheet name="🧮 Simulateurs" sheetId="11" state="visible" r:id="rId11"/>
    <sheet name="🚗 Indemnités KM" sheetId="12" state="visible" r:id="rId12"/>
    <sheet name="📖 Lexique" sheetId="13" state="visible" r:id="rId13"/>
  </sheets>
  <definedNames>
    <definedName name="NOM_ENT">'⚙️ Paramètres'!$C$6</definedName>
    <definedName name="ANNEE">'⚙️ Paramètres'!$C$8</definedName>
    <definedName name="SOLDE_INIT">'⚙️ Paramètres'!$C$9</definedName>
    <definedName name="REGIME_TVA">'⚙️ Paramètres'!$C$12</definedName>
    <definedName name="TVA_DEFAUT">'⚙️ Paramètres'!$C$13</definedName>
    <definedName name="CFE_ANNUELLE">'⚙️ Paramètres'!$C$14</definedName>
    <definedName name="STATUT">'⚙️ Paramètres'!$C$17</definedName>
    <definedName name="TAUX_CHG_AS">'⚙️ Paramètres'!$C$18</definedName>
    <definedName name="TAUX_CHG_TNS">'⚙️ Paramètres'!$C$19</definedName>
    <definedName name="SALAIRE_NET">'⚙️ Paramètres'!$C$20</definedName>
    <definedName name="TAUX_CHARGES">'⚙️ Paramètres'!$C$21</definedName>
    <definedName name="SEUIL_IS">'⚙️ Paramètres'!$F$6</definedName>
    <definedName name="TAUX_IS_REDUIT">'⚙️ Paramètres'!$F$7</definedName>
    <definedName name="TAUX_IS_NORMAL">'⚙️ Paramètres'!$F$8</definedName>
    <definedName name="JOUR_URSSAF">'⚙️ Paramètres'!$C$25</definedName>
    <definedName name="FLAT_TAX">'⚙️ Paramètres'!$C$26</definedName>
    <definedName name="TVA_AC_JUIL">'⚙️ Paramètres'!$C$27</definedName>
    <definedName name="TVA_AC_DEC">'⚙️ Paramètres'!$C$28</definedName>
    <definedName name="BAREME_KM">'⚙️ Paramètres'!$E$13:$I$17</definedName>
    <definedName name="LISTE_TVA">'⚙️ Paramètres'!$F$21:$F$25</definedName>
    <definedName name="LISTE_CATEGORIES">'📋 Budget'!$B$16:$B$30</definedName>
  </definedNames>
  <calcPr calcId="124519" fullCalcOnLoad="1"/>
</workbook>
</file>

<file path=xl/styles.xml><?xml version="1.0" encoding="utf-8"?>
<styleSheet xmlns="http://schemas.openxmlformats.org/spreadsheetml/2006/main">
  <numFmts count="8">
    <numFmt numFmtId="164" formatCode="#,##0.00 &quot;€&quot;;[Red](#,##0.00 &quot;€&quot;)"/>
    <numFmt numFmtId="165" formatCode="#,##0 &quot;€&quot;;[Red](#,##0 &quot;€&quot;)"/>
    <numFmt numFmtId="166" formatCode="0.000"/>
    <numFmt numFmtId="167" formatCode="0.0%"/>
    <numFmt numFmtId="168" formatCode="DD/MM/YYYY"/>
    <numFmt numFmtId="169" formatCode=";;;"/>
    <numFmt numFmtId="170" formatCode="#,##0 &quot;km&quot;"/>
    <numFmt numFmtId="171" formatCode="0.0"/>
  </numFmts>
  <fonts count="30">
    <font>
      <name val="Calibri"/>
      <family val="2"/>
      <color theme="1"/>
      <sz val="11"/>
      <scheme val="minor"/>
    </font>
    <font>
      <name val="Montserrat"/>
      <color rgb="003D3833"/>
      <sz val="10"/>
    </font>
    <font>
      <name val="Montserrat"/>
      <b val="1"/>
      <color rgb="00FFFFFF"/>
      <sz val="18"/>
    </font>
    <font>
      <name val="Montserrat"/>
      <color rgb="00F5E6E0"/>
      <sz val="10"/>
    </font>
    <font>
      <name val="Montserrat"/>
      <i val="1"/>
      <color rgb="008B7D6B"/>
      <sz val="9"/>
    </font>
    <font>
      <name val="Montserrat"/>
      <b val="1"/>
      <color rgb="00FFFFFF"/>
      <sz val="11"/>
    </font>
    <font>
      <name val="Montserrat"/>
      <color rgb="00722F37"/>
      <sz val="10"/>
    </font>
    <font>
      <name val="Montserrat"/>
      <i val="1"/>
      <color rgb="008B7D6B"/>
      <sz val="8.5"/>
    </font>
    <font>
      <name val="Montserrat"/>
      <b val="1"/>
      <color rgb="00FFFFFF"/>
      <sz val="10"/>
    </font>
    <font>
      <name val="Montserrat"/>
      <b val="1"/>
      <color rgb="003D3833"/>
      <sz val="10"/>
    </font>
    <font>
      <name val="Montserrat"/>
      <b val="1"/>
      <color rgb="00722F37"/>
      <sz val="13"/>
    </font>
    <font>
      <name val="Montserrat"/>
      <b val="1"/>
      <color rgb="00722F37"/>
      <sz val="16"/>
    </font>
    <font>
      <name val="Montserrat"/>
      <b val="1"/>
      <color rgb="00722F37"/>
      <sz val="12"/>
    </font>
    <font>
      <name val="Montserrat"/>
      <color rgb="00722F37"/>
      <sz val="12"/>
    </font>
    <font>
      <name val="Montserrat"/>
      <i val="1"/>
      <color rgb="008B7D6B"/>
      <sz val="10"/>
    </font>
    <font>
      <name val="Montserrat"/>
      <b val="1"/>
      <color rgb="00722F37"/>
      <sz val="10"/>
    </font>
    <font>
      <name val="Montserrat"/>
      <color rgb="008B7D6B"/>
      <sz val="8"/>
    </font>
    <font>
      <name val="Montserrat"/>
      <b val="1"/>
      <color rgb="008B7D6B"/>
      <sz val="8"/>
    </font>
    <font>
      <name val="Montserrat"/>
      <b val="1"/>
      <color rgb="00722F37"/>
      <sz val="15"/>
    </font>
    <font>
      <name val="Montserrat"/>
      <i val="1"/>
      <color rgb="008B7D6B"/>
      <sz val="7.5"/>
    </font>
    <font>
      <name val="Montserrat"/>
      <color rgb="00F5F0E8"/>
      <sz val="8"/>
    </font>
    <font>
      <name val="Montserrat"/>
      <b val="1"/>
      <color rgb="00722F37"/>
      <sz val="11"/>
    </font>
    <font>
      <name val="Montserrat"/>
      <b val="1"/>
      <color rgb="008B7D6B"/>
      <sz val="9"/>
    </font>
    <font>
      <name val="Montserrat"/>
      <b val="1"/>
      <color rgb="00722F37"/>
      <sz val="9.5"/>
    </font>
    <font>
      <name val="Montserrat"/>
      <b val="1"/>
      <color rgb="003D3833"/>
      <sz val="11"/>
    </font>
    <font>
      <name val="Montserrat"/>
      <b val="1"/>
      <color rgb="00722F37"/>
      <sz val="18"/>
    </font>
    <font>
      <name val="Montserrat"/>
      <color rgb="00722F37"/>
      <sz val="11"/>
    </font>
    <font>
      <name val="Montserrat"/>
      <color rgb="003D3833"/>
      <sz val="9"/>
    </font>
    <font>
      <name val="Montserrat"/>
      <i val="1"/>
      <color rgb="008B7D6B"/>
      <sz val="8"/>
    </font>
    <font>
      <name val="Montserrat"/>
      <color rgb="00722F37"/>
      <sz val="9"/>
    </font>
  </fonts>
  <fills count="9">
    <fill>
      <patternFill/>
    </fill>
    <fill>
      <patternFill patternType="gray125"/>
    </fill>
    <fill>
      <patternFill patternType="solid">
        <fgColor rgb="00F5F0E8"/>
      </patternFill>
    </fill>
    <fill>
      <patternFill patternType="solid">
        <fgColor rgb="00722F37"/>
      </patternFill>
    </fill>
    <fill>
      <patternFill patternType="solid">
        <fgColor rgb="00FDFBF7"/>
      </patternFill>
    </fill>
    <fill>
      <patternFill patternType="solid">
        <fgColor rgb="00EFE7DB"/>
      </patternFill>
    </fill>
    <fill>
      <patternFill patternType="solid">
        <fgColor rgb="008B7D6B"/>
      </patternFill>
    </fill>
    <fill>
      <patternFill patternType="solid">
        <fgColor rgb="007D8B6B"/>
      </patternFill>
    </fill>
    <fill>
      <patternFill patternType="solid">
        <fgColor rgb="00A94442"/>
      </patternFill>
    </fill>
  </fills>
  <borders count="46">
    <border>
      <left/>
      <right/>
      <top/>
      <bottom/>
      <diagonal/>
    </border>
    <border>
      <left style="thin">
        <color rgb="008B7D6B"/>
      </left>
      <right style="thin">
        <color rgb="008B7D6B"/>
      </right>
      <top style="thin">
        <color rgb="008B7D6B"/>
      </top>
      <bottom style="thin">
        <color rgb="008B7D6B"/>
      </bottom>
    </border>
    <border>
      <left style="thin">
        <color rgb="00C9BFB0"/>
      </left>
      <right style="thin">
        <color rgb="00C9BFB0"/>
      </right>
      <top style="thin">
        <color rgb="00C9BFB0"/>
      </top>
      <bottom style="thin">
        <color rgb="00C9BFB0"/>
      </bottom>
    </border>
    <border>
      <left/>
      <right/>
      <top style="thin">
        <color rgb="008B7D6B"/>
      </top>
      <bottom/>
      <diagonal/>
    </border>
    <border>
      <left/>
      <right style="thin">
        <color rgb="008B7D6B"/>
      </right>
      <top style="thin">
        <color rgb="008B7D6B"/>
      </top>
      <bottom/>
      <diagonal/>
    </border>
    <border>
      <left/>
      <right/>
      <top style="thin">
        <color rgb="008B7D6B"/>
      </top>
      <bottom style="thin">
        <color rgb="008B7D6B"/>
      </bottom>
      <diagonal/>
    </border>
    <border>
      <left/>
      <right style="thin">
        <color rgb="008B7D6B"/>
      </right>
      <top style="thin">
        <color rgb="008B7D6B"/>
      </top>
      <bottom style="thin">
        <color rgb="008B7D6B"/>
      </bottom>
      <diagonal/>
    </border>
    <border>
      <left/>
      <right/>
      <top style="thin">
        <color rgb="00C9BFB0"/>
      </top>
      <bottom/>
    </border>
    <border>
      <left/>
      <right/>
      <top/>
      <bottom style="thin">
        <color rgb="00C9BFB0"/>
      </bottom>
    </border>
    <border>
      <left style="thin">
        <color rgb="008B7D6B"/>
      </left>
      <right style="thin">
        <color rgb="008B7D6B"/>
      </right>
      <top style="thin">
        <color rgb="00C9BFB0"/>
      </top>
      <bottom style="thin">
        <color rgb="008B7D6B"/>
      </bottom>
    </border>
    <border>
      <left style="thin">
        <color rgb="00C9BFB0"/>
      </left>
      <right/>
      <top style="thin">
        <color rgb="00C9BFB0"/>
      </top>
      <bottom/>
    </border>
    <border>
      <left style="thin">
        <color rgb="008B7D6B"/>
      </left>
      <right style="thin">
        <color rgb="00C9BFB0"/>
      </right>
      <top style="thin">
        <color rgb="00C9BFB0"/>
      </top>
      <bottom style="thin">
        <color rgb="008B7D6B"/>
      </bottom>
    </border>
    <border>
      <left style="thin">
        <color rgb="00C9BFB0"/>
      </left>
      <right/>
      <top/>
      <bottom style="thin">
        <color rgb="00C9BFB0"/>
      </bottom>
    </border>
    <border>
      <left/>
      <right style="thin">
        <color rgb="00C9BFB0"/>
      </right>
      <top/>
      <bottom style="thin">
        <color rgb="00C9BFB0"/>
      </bottom>
    </border>
    <border>
      <left/>
      <right/>
      <top style="thin">
        <color rgb="00C9BFB0"/>
      </top>
      <bottom/>
      <diagonal/>
    </border>
    <border>
      <left/>
      <right style="thin">
        <color rgb="00C9BFB0"/>
      </right>
      <top style="thin">
        <color rgb="00C9BFB0"/>
      </top>
      <bottom/>
      <diagonal/>
    </border>
    <border>
      <left/>
      <right/>
      <top style="thin">
        <color rgb="00C9BFB0"/>
      </top>
      <bottom style="thin">
        <color rgb="00C9BFB0"/>
      </bottom>
      <diagonal/>
    </border>
    <border>
      <left/>
      <right style="thin">
        <color rgb="00C9BFB0"/>
      </right>
      <top style="thin">
        <color rgb="00C9BFB0"/>
      </top>
      <bottom style="thin">
        <color rgb="00C9BFB0"/>
      </bottom>
      <diagonal/>
    </border>
    <border>
      <left/>
      <right/>
      <top style="thin">
        <color rgb="008B7D6B"/>
      </top>
      <bottom/>
    </border>
    <border>
      <left style="thin">
        <color rgb="00C9BFB0"/>
      </left>
      <right style="thin">
        <color rgb="00C9BFB0"/>
      </right>
      <top style="thin">
        <color rgb="00C9BFB0"/>
      </top>
      <bottom style="thin">
        <color rgb="008B7D6B"/>
      </bottom>
    </border>
    <border>
      <left/>
      <right/>
      <top style="thin">
        <color rgb="00C9BFB0"/>
      </top>
      <bottom style="thin">
        <color rgb="008B7D6B"/>
      </bottom>
    </border>
    <border>
      <left/>
      <right style="thin">
        <color rgb="00C9BFB0"/>
      </right>
      <top style="thin">
        <color rgb="00C9BFB0"/>
      </top>
      <bottom style="thin">
        <color rgb="008B7D6B"/>
      </bottom>
    </border>
    <border>
      <left style="thin">
        <color rgb="008B7D6B"/>
      </left>
      <right/>
      <top style="thin">
        <color rgb="008B7D6B"/>
      </top>
      <bottom/>
    </border>
    <border>
      <left/>
      <right style="thin">
        <color rgb="008B7D6B"/>
      </right>
      <top style="thin">
        <color rgb="008B7D6B"/>
      </top>
      <bottom/>
    </border>
    <border>
      <left style="thin">
        <color rgb="008B7D6B"/>
      </left>
      <right style="thin">
        <color rgb="00C9BFB0"/>
      </right>
      <top style="thin">
        <color rgb="00C9BFB0"/>
      </top>
      <bottom style="thin">
        <color rgb="00C9BFB0"/>
      </bottom>
    </border>
    <border>
      <left/>
      <right style="thin">
        <color rgb="008B7D6B"/>
      </right>
      <top style="thin">
        <color rgb="00C9BFB0"/>
      </top>
      <bottom style="thin">
        <color rgb="00C9BFB0"/>
      </bottom>
    </border>
    <border>
      <left/>
      <right style="thin">
        <color rgb="008B7D6B"/>
      </right>
      <top style="thin">
        <color rgb="00C9BFB0"/>
      </top>
      <bottom style="thin">
        <color rgb="008B7D6B"/>
      </bottom>
    </border>
    <border>
      <left/>
      <right style="thin">
        <color rgb="00C9BFB0"/>
      </right>
      <top style="thin">
        <color rgb="00C9BFB0"/>
      </top>
      <bottom/>
    </border>
    <border>
      <left/>
      <right/>
      <top style="thin">
        <color rgb="00722F37"/>
      </top>
      <bottom/>
    </border>
    <border>
      <left/>
      <right/>
      <top/>
      <bottom style="thin">
        <color rgb="00722F37"/>
      </bottom>
    </border>
    <border>
      <left style="thin">
        <color rgb="00C9BFB0"/>
      </left>
      <right style="thin">
        <color rgb="00C9BFB0"/>
      </right>
      <top style="thin">
        <color rgb="00C9BFB0"/>
      </top>
      <bottom style="thin">
        <color rgb="00722F37"/>
      </bottom>
    </border>
    <border>
      <left style="thin">
        <color rgb="00722F37"/>
      </left>
      <right/>
      <top style="thin">
        <color rgb="00722F37"/>
      </top>
      <bottom/>
    </border>
    <border>
      <left/>
      <right style="thin">
        <color rgb="00722F37"/>
      </right>
      <top style="thin">
        <color rgb="00722F37"/>
      </top>
      <bottom/>
    </border>
    <border>
      <left style="thin">
        <color rgb="00722F37"/>
      </left>
      <right/>
      <top/>
      <bottom/>
    </border>
    <border>
      <left style="thin">
        <color rgb="00C9BFB0"/>
      </left>
      <right style="thin">
        <color rgb="00722F37"/>
      </right>
      <top style="thin">
        <color rgb="00C9BFB0"/>
      </top>
      <bottom style="thin">
        <color rgb="00C9BFB0"/>
      </bottom>
    </border>
    <border>
      <left style="thin">
        <color rgb="00722F37"/>
      </left>
      <right/>
      <top/>
      <bottom style="thin">
        <color rgb="00722F37"/>
      </bottom>
    </border>
    <border>
      <left style="thin">
        <color rgb="00C9BFB0"/>
      </left>
      <right style="thin">
        <color rgb="00722F37"/>
      </right>
      <top style="thin">
        <color rgb="00C9BFB0"/>
      </top>
      <bottom style="thin">
        <color rgb="00722F37"/>
      </bottom>
    </border>
    <border>
      <left style="thin">
        <color rgb="00C9BFB0"/>
      </left>
      <right/>
      <top/>
      <bottom/>
    </border>
    <border>
      <left/>
      <right style="thin">
        <color rgb="00C9BFB0"/>
      </right>
      <top/>
      <bottom/>
    </border>
    <border>
      <left/>
      <right/>
      <top/>
      <bottom style="thin">
        <color rgb="008B7D6B"/>
      </bottom>
    </border>
    <border>
      <left style="thin">
        <color rgb="008B7D6B"/>
      </left>
      <right/>
      <top/>
      <bottom/>
    </border>
    <border>
      <left/>
      <right style="thin">
        <color rgb="008B7D6B"/>
      </right>
      <top/>
      <bottom/>
    </border>
    <border>
      <left style="thin">
        <color rgb="008B7D6B"/>
      </left>
      <right/>
      <top/>
      <bottom style="thin">
        <color rgb="008B7D6B"/>
      </bottom>
    </border>
    <border>
      <left/>
      <right style="thin">
        <color rgb="008B7D6B"/>
      </right>
      <top/>
      <bottom style="thin">
        <color rgb="008B7D6B"/>
      </bottom>
    </border>
    <border>
      <left style="thin">
        <color rgb="00C9BFB0"/>
      </left>
      <right style="thin">
        <color rgb="008B7D6B"/>
      </right>
      <top style="thin">
        <color rgb="00C9BFB0"/>
      </top>
      <bottom style="thin">
        <color rgb="00C9BFB0"/>
      </bottom>
    </border>
    <border>
      <left style="thin">
        <color rgb="008B7D6B"/>
      </left>
      <right style="thin">
        <color rgb="00722F37"/>
      </right>
      <top style="thin">
        <color rgb="008B7D6B"/>
      </top>
      <bottom style="thin">
        <color rgb="008B7D6B"/>
      </bottom>
    </border>
  </borders>
  <cellStyleXfs count="1">
    <xf numFmtId="0" fontId="0" fillId="0" borderId="0"/>
  </cellStyleXfs>
  <cellXfs count="132">
    <xf numFmtId="0" fontId="0" fillId="0" borderId="0" pivotButton="0" quotePrefix="0" xfId="0"/>
    <xf numFmtId="0" fontId="2" fillId="3" borderId="0" applyAlignment="1" pivotButton="0" quotePrefix="0" xfId="0">
      <alignment horizontal="left" vertical="bottom" indent="1"/>
    </xf>
    <xf numFmtId="0" fontId="1" fillId="2" borderId="0" pivotButton="0" quotePrefix="0" xfId="0"/>
    <xf numFmtId="0" fontId="3" fillId="3" borderId="0" applyAlignment="1" pivotButton="0" quotePrefix="0" xfId="0">
      <alignment horizontal="left" vertical="top" indent="1"/>
    </xf>
    <xf numFmtId="0" fontId="22" fillId="2" borderId="0" applyAlignment="1" pivotButton="0" quotePrefix="0" xfId="0">
      <alignment horizontal="left" vertical="center"/>
    </xf>
    <xf numFmtId="0" fontId="7" fillId="2" borderId="0" applyAlignment="1" pivotButton="0" quotePrefix="0" xfId="0">
      <alignment horizontal="right" vertical="center"/>
    </xf>
    <xf numFmtId="0" fontId="16" fillId="2" borderId="0" applyAlignment="1" pivotButton="0" quotePrefix="0" xfId="0">
      <alignment horizontal="left" vertical="center"/>
    </xf>
    <xf numFmtId="0" fontId="17" fillId="4" borderId="10" applyAlignment="1" pivotButton="0" quotePrefix="0" xfId="0">
      <alignment horizontal="center" vertical="center"/>
    </xf>
    <xf numFmtId="0" fontId="0" fillId="0" borderId="27" pivotButton="0" quotePrefix="0" xfId="0"/>
    <xf numFmtId="1" fontId="16" fillId="2" borderId="0" applyAlignment="1" pivotButton="0" quotePrefix="0" xfId="0">
      <alignment horizontal="right" vertical="center"/>
    </xf>
    <xf numFmtId="165" fontId="18" fillId="4" borderId="37" applyAlignment="1" pivotButton="0" quotePrefix="0" xfId="0">
      <alignment horizontal="center" vertical="center"/>
    </xf>
    <xf numFmtId="0" fontId="0" fillId="0" borderId="38" pivotButton="0" quotePrefix="0" xfId="0"/>
    <xf numFmtId="168" fontId="18" fillId="4" borderId="37" applyAlignment="1" pivotButton="0" quotePrefix="0" xfId="0">
      <alignment horizontal="center" vertical="center"/>
    </xf>
    <xf numFmtId="165" fontId="16" fillId="2" borderId="0" applyAlignment="1" pivotButton="0" quotePrefix="0" xfId="0">
      <alignment horizontal="right" vertical="center"/>
    </xf>
    <xf numFmtId="0" fontId="19" fillId="4" borderId="12" applyAlignment="1" pivotButton="0" quotePrefix="0" xfId="0">
      <alignment horizontal="center" vertical="center" wrapText="1"/>
    </xf>
    <xf numFmtId="0" fontId="0" fillId="0" borderId="13" pivotButton="0" quotePrefix="0" xfId="0"/>
    <xf numFmtId="0" fontId="0" fillId="0" borderId="7" pivotButton="0" quotePrefix="0" xfId="0"/>
    <xf numFmtId="0" fontId="23" fillId="4" borderId="12" applyAlignment="1" pivotButton="0" quotePrefix="0" xfId="0">
      <alignment horizontal="center" vertical="center" wrapText="1"/>
    </xf>
    <xf numFmtId="0" fontId="0" fillId="0" borderId="8" pivotButton="0" quotePrefix="0" xfId="0"/>
    <xf numFmtId="0" fontId="5" fillId="6" borderId="0" applyAlignment="1" pivotButton="0" quotePrefix="0" xfId="0">
      <alignment horizontal="left" vertical="center" indent="1"/>
    </xf>
    <xf numFmtId="171" fontId="16" fillId="2" borderId="0" applyAlignment="1" pivotButton="0" quotePrefix="0" xfId="0">
      <alignment horizontal="right" vertical="center"/>
    </xf>
    <xf numFmtId="0" fontId="17" fillId="4" borderId="22" applyAlignment="1" pivotButton="0" quotePrefix="0" xfId="0">
      <alignment horizontal="center" vertical="center"/>
    </xf>
    <xf numFmtId="0" fontId="0" fillId="0" borderId="18" pivotButton="0" quotePrefix="0" xfId="0"/>
    <xf numFmtId="0" fontId="24" fillId="4" borderId="18" applyAlignment="1" pivotButton="0" quotePrefix="0" xfId="0">
      <alignment horizontal="left" vertical="center"/>
    </xf>
    <xf numFmtId="0" fontId="0" fillId="0" borderId="23" pivotButton="0" quotePrefix="0" xfId="0"/>
    <xf numFmtId="0" fontId="5" fillId="3" borderId="22" applyAlignment="1" pivotButton="0" quotePrefix="0" xfId="0">
      <alignment horizontal="left" vertical="center" indent="1"/>
    </xf>
    <xf numFmtId="167" fontId="16" fillId="2" borderId="0" applyAlignment="1" pivotButton="0" quotePrefix="0" xfId="0">
      <alignment horizontal="right" vertical="center"/>
    </xf>
    <xf numFmtId="0" fontId="25" fillId="4" borderId="40" applyAlignment="1" pivotButton="0" quotePrefix="0" xfId="0">
      <alignment horizontal="center" vertical="center"/>
    </xf>
    <xf numFmtId="0" fontId="26" fillId="4" borderId="0" applyAlignment="1" pivotButton="0" quotePrefix="0" xfId="0">
      <alignment horizontal="left" vertical="center"/>
    </xf>
    <xf numFmtId="0" fontId="0" fillId="0" borderId="41" pivotButton="0" quotePrefix="0" xfId="0"/>
    <xf numFmtId="0" fontId="27" fillId="4" borderId="40" applyAlignment="1" pivotButton="0" quotePrefix="0" xfId="0">
      <alignment horizontal="left" vertical="center" wrapText="1"/>
    </xf>
    <xf numFmtId="0" fontId="9" fillId="4" borderId="40" applyAlignment="1" pivotButton="0" quotePrefix="0" xfId="0">
      <alignment horizontal="left" vertical="center"/>
    </xf>
    <xf numFmtId="0" fontId="9" fillId="4" borderId="0" applyAlignment="1" pivotButton="0" quotePrefix="0" xfId="0">
      <alignment horizontal="center" vertical="center"/>
    </xf>
    <xf numFmtId="0" fontId="7" fillId="4" borderId="0" applyAlignment="1" pivotButton="0" quotePrefix="0" xfId="0">
      <alignment horizontal="left" vertical="center" wrapText="1"/>
    </xf>
    <xf numFmtId="0" fontId="9" fillId="4" borderId="42" applyAlignment="1" pivotButton="0" quotePrefix="0" xfId="0">
      <alignment horizontal="left" vertical="center"/>
    </xf>
    <xf numFmtId="0" fontId="0" fillId="0" borderId="39" pivotButton="0" quotePrefix="0" xfId="0"/>
    <xf numFmtId="0" fontId="9" fillId="4" borderId="39" applyAlignment="1" pivotButton="0" quotePrefix="0" xfId="0">
      <alignment horizontal="center" vertical="center"/>
    </xf>
    <xf numFmtId="0" fontId="7" fillId="4" borderId="39" applyAlignment="1" pivotButton="0" quotePrefix="0" xfId="0">
      <alignment horizontal="left" vertical="center" wrapText="1"/>
    </xf>
    <xf numFmtId="0" fontId="0" fillId="0" borderId="43" pivotButton="0" quotePrefix="0" xfId="0"/>
    <xf numFmtId="0" fontId="28" fillId="4" borderId="42" applyAlignment="1" pivotButton="0" quotePrefix="0" xfId="0">
      <alignment horizontal="left" vertical="center"/>
    </xf>
    <xf numFmtId="0" fontId="5" fillId="3" borderId="0" applyAlignment="1" pivotButton="0" quotePrefix="0" xfId="0">
      <alignment horizontal="left" vertical="center" indent="1"/>
    </xf>
    <xf numFmtId="0" fontId="8" fillId="6" borderId="2" applyAlignment="1" pivotButton="0" quotePrefix="0" xfId="0">
      <alignment horizontal="center" vertical="center" wrapText="1"/>
    </xf>
    <xf numFmtId="0" fontId="0" fillId="0" borderId="17" pivotButton="0" quotePrefix="0" xfId="0"/>
    <xf numFmtId="0" fontId="9" fillId="5" borderId="2" applyAlignment="1" pivotButton="0" quotePrefix="0" xfId="0">
      <alignment horizontal="left" vertical="center"/>
    </xf>
    <xf numFmtId="165" fontId="1" fillId="5" borderId="2" applyAlignment="1" pivotButton="0" quotePrefix="0" xfId="0">
      <alignment horizontal="right" vertical="center"/>
    </xf>
    <xf numFmtId="167" fontId="1" fillId="5" borderId="2" applyAlignment="1" pivotButton="0" quotePrefix="0" xfId="0">
      <alignment horizontal="right" vertical="center"/>
    </xf>
    <xf numFmtId="49" fontId="1" fillId="5" borderId="2" applyAlignment="1" pivotButton="0" quotePrefix="0" xfId="0">
      <alignment horizontal="center" vertical="center"/>
    </xf>
    <xf numFmtId="0" fontId="29" fillId="4" borderId="2" applyAlignment="1" pivotButton="0" quotePrefix="0" xfId="0">
      <alignment horizontal="left" vertical="center"/>
    </xf>
    <xf numFmtId="0" fontId="1" fillId="5" borderId="2" applyAlignment="1" pivotButton="0" quotePrefix="0" xfId="0">
      <alignment horizontal="left" vertical="center" wrapText="1"/>
    </xf>
    <xf numFmtId="0" fontId="0" fillId="0" borderId="16" pivotButton="0" quotePrefix="0" xfId="0"/>
    <xf numFmtId="0" fontId="1" fillId="2" borderId="0" applyAlignment="1" pivotButton="0" quotePrefix="0" xfId="0">
      <alignment horizontal="left" vertical="center"/>
    </xf>
    <xf numFmtId="9" fontId="9" fillId="5" borderId="2" applyAlignment="1" pivotButton="0" quotePrefix="0" xfId="0">
      <alignment horizontal="right" vertical="center"/>
    </xf>
    <xf numFmtId="0" fontId="7"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10" fillId="4" borderId="1" applyAlignment="1" pivotButton="0" quotePrefix="0" xfId="0">
      <alignment horizontal="center" vertical="center"/>
    </xf>
    <xf numFmtId="0" fontId="0" fillId="0" borderId="5" pivotButton="0" quotePrefix="0" xfId="0"/>
    <xf numFmtId="0" fontId="0" fillId="0" borderId="6" pivotButton="0" quotePrefix="0" xfId="0"/>
    <xf numFmtId="0" fontId="11" fillId="4" borderId="10" applyAlignment="1" pivotButton="0" quotePrefix="0" xfId="0">
      <alignment horizontal="center" vertical="center"/>
    </xf>
    <xf numFmtId="0" fontId="12" fillId="4" borderId="7" applyAlignment="1" pivotButton="0" quotePrefix="0" xfId="0">
      <alignment horizontal="left" vertical="center"/>
    </xf>
    <xf numFmtId="0" fontId="13" fillId="4" borderId="11" applyAlignment="1" pivotButton="0" quotePrefix="0" xfId="0">
      <alignment horizontal="center" vertical="center"/>
    </xf>
    <xf numFmtId="0" fontId="1" fillId="4" borderId="12" pivotButton="0" quotePrefix="0" xfId="0"/>
    <xf numFmtId="0" fontId="1" fillId="4" borderId="8" applyAlignment="1" pivotButton="0" quotePrefix="0" xfId="0">
      <alignment horizontal="left" vertical="center" wrapText="1"/>
    </xf>
    <xf numFmtId="0" fontId="1" fillId="5" borderId="24" applyAlignment="1" pivotButton="0" quotePrefix="0" xfId="0">
      <alignment horizontal="left" vertical="center" wrapText="1"/>
    </xf>
    <xf numFmtId="0" fontId="0" fillId="0" borderId="25" pivotButton="0" quotePrefix="0" xfId="0"/>
    <xf numFmtId="0" fontId="1" fillId="5" borderId="11" applyAlignment="1" pivotButton="0" quotePrefix="0" xfId="0">
      <alignment horizontal="left" vertical="center" wrapText="1"/>
    </xf>
    <xf numFmtId="0" fontId="0" fillId="0" borderId="20" pivotButton="0" quotePrefix="0" xfId="0"/>
    <xf numFmtId="0" fontId="0" fillId="0" borderId="26" pivotButton="0" quotePrefix="0" xfId="0"/>
    <xf numFmtId="0" fontId="14" fillId="4" borderId="10" applyAlignment="1" pivotButton="0" quotePrefix="0" xfId="0">
      <alignment horizontal="left" vertical="center" wrapText="1"/>
    </xf>
    <xf numFmtId="0" fontId="0" fillId="0" borderId="12" pivotButton="0" quotePrefix="0" xfId="0"/>
    <xf numFmtId="0" fontId="6" fillId="4" borderId="1" applyAlignment="1" pivotButton="0" quotePrefix="0" xfId="0">
      <alignment horizontal="center" vertical="center"/>
    </xf>
    <xf numFmtId="165" fontId="6" fillId="4" borderId="1" applyAlignment="1" pivotButton="0" quotePrefix="0" xfId="0">
      <alignment horizontal="right" vertical="center"/>
    </xf>
    <xf numFmtId="9" fontId="6" fillId="4" borderId="1" applyAlignment="1" pivotButton="0" quotePrefix="0" xfId="0">
      <alignment horizontal="right" vertical="center"/>
    </xf>
    <xf numFmtId="1" fontId="6" fillId="4" borderId="1" applyAlignment="1" pivotButton="0" quotePrefix="0" xfId="0">
      <alignment horizontal="center" vertical="center"/>
    </xf>
    <xf numFmtId="164" fontId="6" fillId="4" borderId="1" applyAlignment="1" pivotButton="0" quotePrefix="0" xfId="0">
      <alignment horizontal="right" vertical="center"/>
    </xf>
    <xf numFmtId="0" fontId="7" fillId="2" borderId="0" applyAlignment="1" pivotButton="0" quotePrefix="0" xfId="0">
      <alignment horizontal="left" vertical="center" wrapText="1"/>
    </xf>
    <xf numFmtId="166" fontId="6" fillId="4" borderId="1" applyAlignment="1" pivotButton="0" quotePrefix="0" xfId="0">
      <alignment horizontal="center" vertical="center"/>
    </xf>
    <xf numFmtId="9" fontId="1" fillId="5" borderId="2" applyAlignment="1" pivotButton="0" quotePrefix="0" xfId="0">
      <alignment horizontal="right" vertical="center"/>
    </xf>
    <xf numFmtId="167" fontId="6" fillId="4" borderId="1" applyAlignment="1" pivotButton="0" quotePrefix="0" xfId="0">
      <alignment horizontal="right" vertical="center"/>
    </xf>
    <xf numFmtId="0" fontId="6" fillId="4" borderId="1" applyAlignment="1" pivotButton="0" quotePrefix="0" xfId="0">
      <alignment horizontal="left" vertical="center"/>
    </xf>
    <xf numFmtId="0" fontId="15" fillId="2" borderId="0" applyAlignment="1" pivotButton="0" quotePrefix="0" xfId="0">
      <alignment horizontal="left" vertical="center"/>
    </xf>
    <xf numFmtId="165" fontId="15" fillId="5" borderId="2" applyAlignment="1" pivotButton="0" quotePrefix="0" xfId="0">
      <alignment horizontal="right" vertical="center"/>
    </xf>
    <xf numFmtId="0" fontId="9" fillId="2" borderId="0" applyAlignment="1" pivotButton="0" quotePrefix="0" xfId="0">
      <alignment horizontal="left" vertical="center"/>
    </xf>
    <xf numFmtId="165" fontId="9" fillId="5" borderId="2" applyAlignment="1" pivotButton="0" quotePrefix="0" xfId="0">
      <alignment horizontal="right" vertical="center"/>
    </xf>
    <xf numFmtId="0" fontId="8" fillId="3" borderId="2" applyAlignment="1" pivotButton="0" quotePrefix="0" xfId="0">
      <alignment horizontal="center" vertical="center" wrapText="1"/>
    </xf>
    <xf numFmtId="168" fontId="6" fillId="4" borderId="1" applyAlignment="1" pivotButton="0" quotePrefix="0" xfId="0">
      <alignment horizontal="center" vertical="center"/>
    </xf>
    <xf numFmtId="164" fontId="1" fillId="2" borderId="2" applyAlignment="1" pivotButton="0" quotePrefix="0" xfId="0">
      <alignment horizontal="right" vertical="center"/>
    </xf>
    <xf numFmtId="1" fontId="1" fillId="2" borderId="2" applyAlignment="1" pivotButton="0" quotePrefix="0" xfId="0">
      <alignment horizontal="right" vertical="center"/>
    </xf>
    <xf numFmtId="164" fontId="1" fillId="5" borderId="2" applyAlignment="1" pivotButton="0" quotePrefix="0" xfId="0">
      <alignment horizontal="right" vertical="center"/>
    </xf>
    <xf numFmtId="1" fontId="1" fillId="5" borderId="2" applyAlignment="1" pivotButton="0" quotePrefix="0" xfId="0">
      <alignment horizontal="right" vertical="center"/>
    </xf>
    <xf numFmtId="0" fontId="9" fillId="5" borderId="2" applyAlignment="1" pivotButton="0" quotePrefix="0" xfId="0">
      <alignment horizontal="center" vertical="center"/>
    </xf>
    <xf numFmtId="165" fontId="1" fillId="2" borderId="2" applyAlignment="1" pivotButton="0" quotePrefix="0" xfId="0">
      <alignment horizontal="right" vertical="center"/>
    </xf>
    <xf numFmtId="0" fontId="8" fillId="3" borderId="2" applyAlignment="1" pivotButton="0" quotePrefix="0" xfId="0">
      <alignment horizontal="center" vertical="center"/>
    </xf>
    <xf numFmtId="0" fontId="5" fillId="7" borderId="0" applyAlignment="1" pivotButton="0" quotePrefix="0" xfId="0">
      <alignment horizontal="left" vertical="center" indent="1"/>
    </xf>
    <xf numFmtId="0" fontId="5" fillId="8" borderId="0" applyAlignment="1" pivotButton="0" quotePrefix="0" xfId="0">
      <alignment horizontal="left" vertical="center" indent="1"/>
    </xf>
    <xf numFmtId="0" fontId="5" fillId="3" borderId="31" applyAlignment="1" pivotButton="0" quotePrefix="0" xfId="0">
      <alignment horizontal="left" vertical="center" indent="1"/>
    </xf>
    <xf numFmtId="0" fontId="0" fillId="0" borderId="32" pivotButton="0" quotePrefix="0" xfId="0"/>
    <xf numFmtId="0" fontId="1" fillId="2" borderId="33" applyAlignment="1" pivotButton="0" quotePrefix="0" xfId="0">
      <alignment horizontal="left" vertical="center"/>
    </xf>
    <xf numFmtId="164" fontId="1" fillId="5" borderId="34" applyAlignment="1" pivotButton="0" quotePrefix="0" xfId="0">
      <alignment horizontal="right" vertical="center"/>
    </xf>
    <xf numFmtId="0" fontId="15" fillId="2" borderId="35" applyAlignment="1" pivotButton="0" quotePrefix="0" xfId="0">
      <alignment horizontal="left" vertical="center"/>
    </xf>
    <xf numFmtId="164" fontId="15" fillId="5" borderId="36" applyAlignment="1" pivotButton="0" quotePrefix="0" xfId="0">
      <alignment horizontal="right" vertical="center"/>
    </xf>
    <xf numFmtId="164" fontId="15" fillId="5" borderId="2" applyAlignment="1" pivotButton="0" quotePrefix="0" xfId="0">
      <alignment horizontal="right" vertical="center"/>
    </xf>
    <xf numFmtId="49" fontId="1" fillId="5" borderId="2" applyAlignment="1" pivotButton="0" quotePrefix="0" xfId="0">
      <alignment horizontal="left" vertical="center"/>
    </xf>
    <xf numFmtId="164" fontId="9" fillId="5" borderId="2" applyAlignment="1" pivotButton="0" quotePrefix="0" xfId="0">
      <alignment horizontal="right" vertical="center"/>
    </xf>
    <xf numFmtId="168" fontId="16" fillId="2" borderId="0" applyAlignment="1" pivotButton="0" quotePrefix="0" xfId="0">
      <alignment horizontal="right" vertical="center"/>
    </xf>
    <xf numFmtId="49" fontId="16" fillId="2" borderId="0" applyAlignment="1" pivotButton="0" quotePrefix="0" xfId="0">
      <alignment horizontal="right" vertical="center"/>
    </xf>
    <xf numFmtId="168" fontId="1" fillId="2" borderId="2" applyAlignment="1" pivotButton="0" quotePrefix="0" xfId="0">
      <alignment horizontal="center" vertical="center"/>
    </xf>
    <xf numFmtId="0" fontId="1" fillId="2" borderId="2" applyAlignment="1" pivotButton="0" quotePrefix="0" xfId="0">
      <alignment horizontal="left" vertical="center"/>
    </xf>
    <xf numFmtId="49" fontId="1" fillId="2" borderId="2" applyAlignment="1" pivotButton="0" quotePrefix="0" xfId="0">
      <alignment horizontal="center" vertical="center"/>
    </xf>
    <xf numFmtId="169" fontId="20" fillId="2" borderId="0" pivotButton="0" quotePrefix="0" xfId="0"/>
    <xf numFmtId="168" fontId="1" fillId="5" borderId="2" applyAlignment="1" pivotButton="0" quotePrefix="0" xfId="0">
      <alignment horizontal="center" vertical="center"/>
    </xf>
    <xf numFmtId="0" fontId="1" fillId="5" borderId="2" applyAlignment="1" pivotButton="0" quotePrefix="0" xfId="0">
      <alignment horizontal="left" vertical="center"/>
    </xf>
    <xf numFmtId="0" fontId="1" fillId="2" borderId="40" applyAlignment="1" pivotButton="0" quotePrefix="0" xfId="0">
      <alignment horizontal="left" vertical="center"/>
    </xf>
    <xf numFmtId="0" fontId="1" fillId="2" borderId="41" pivotButton="0" quotePrefix="0" xfId="0"/>
    <xf numFmtId="0" fontId="9" fillId="2" borderId="40" applyAlignment="1" pivotButton="0" quotePrefix="0" xfId="0">
      <alignment horizontal="left" vertical="center"/>
    </xf>
    <xf numFmtId="0" fontId="15" fillId="2" borderId="40" applyAlignment="1" pivotButton="0" quotePrefix="0" xfId="0">
      <alignment horizontal="left" vertical="center"/>
    </xf>
    <xf numFmtId="165" fontId="10" fillId="5" borderId="2" applyAlignment="1" pivotButton="0" quotePrefix="0" xfId="0">
      <alignment horizontal="right" vertical="center"/>
    </xf>
    <xf numFmtId="0" fontId="7" fillId="2" borderId="42" applyAlignment="1" pivotButton="0" quotePrefix="0" xfId="0">
      <alignment horizontal="left" vertical="center" wrapText="1"/>
    </xf>
    <xf numFmtId="0" fontId="7" fillId="2" borderId="40" applyAlignment="1" pivotButton="0" quotePrefix="0" xfId="0">
      <alignment horizontal="left" vertical="center" wrapText="1"/>
    </xf>
    <xf numFmtId="0" fontId="21" fillId="5" borderId="2" applyAlignment="1" pivotButton="0" quotePrefix="0" xfId="0">
      <alignment horizontal="center" vertical="center"/>
    </xf>
    <xf numFmtId="0" fontId="0" fillId="0" borderId="42" pivotButton="0" quotePrefix="0" xfId="0"/>
    <xf numFmtId="0" fontId="1" fillId="2" borderId="40" pivotButton="0" quotePrefix="0" xfId="0"/>
    <xf numFmtId="0" fontId="8" fillId="6" borderId="44" applyAlignment="1" pivotButton="0" quotePrefix="0" xfId="0">
      <alignment horizontal="center" vertical="center" wrapText="1"/>
    </xf>
    <xf numFmtId="165" fontId="1" fillId="5" borderId="44" applyAlignment="1" pivotButton="0" quotePrefix="0" xfId="0">
      <alignment horizontal="right" vertical="center"/>
    </xf>
    <xf numFmtId="1" fontId="9" fillId="5" borderId="2" applyAlignment="1" pivotButton="0" quotePrefix="0" xfId="0">
      <alignment horizontal="center" vertical="center"/>
    </xf>
    <xf numFmtId="165" fontId="15" fillId="5" borderId="44" applyAlignment="1" pivotButton="0" quotePrefix="0" xfId="0">
      <alignment horizontal="right" vertical="center"/>
    </xf>
    <xf numFmtId="0" fontId="6" fillId="4" borderId="45" applyAlignment="1" pivotButton="0" quotePrefix="0" xfId="0">
      <alignment horizontal="center" vertical="center"/>
    </xf>
    <xf numFmtId="170" fontId="9" fillId="5" borderId="34" applyAlignment="1" pivotButton="0" quotePrefix="0" xfId="0">
      <alignment horizontal="right" vertical="center"/>
    </xf>
    <xf numFmtId="0" fontId="1" fillId="2" borderId="35" applyAlignment="1" pivotButton="0" quotePrefix="0" xfId="0">
      <alignment horizontal="left" vertical="center"/>
    </xf>
    <xf numFmtId="170" fontId="6" fillId="4" borderId="1" applyAlignment="1" pivotButton="0" quotePrefix="0" xfId="0">
      <alignment horizontal="right" vertical="center"/>
    </xf>
    <xf numFmtId="0" fontId="9" fillId="2" borderId="2" applyAlignment="1" pivotButton="0" quotePrefix="0" xfId="0">
      <alignment horizontal="left" vertical="top"/>
    </xf>
    <xf numFmtId="0" fontId="1" fillId="2" borderId="2" applyAlignment="1" pivotButton="0" quotePrefix="0" xfId="0">
      <alignment horizontal="left" vertical="center" wrapText="1"/>
    </xf>
    <xf numFmtId="0" fontId="9" fillId="5" borderId="2" applyAlignment="1" pivotButton="0" quotePrefix="0" xfId="0">
      <alignment horizontal="left" vertical="top"/>
    </xf>
  </cellXfs>
  <cellStyles count="1">
    <cellStyle name="Normal" xfId="0" builtinId="0" hidden="0"/>
  </cellStyles>
  <dxfs count="5">
    <dxf>
      <font>
        <name val="Montserrat"/>
        <b val="1"/>
        <color rgb="00A94442"/>
        <sz val="15"/>
      </font>
    </dxf>
    <dxf>
      <font>
        <name val="Montserrat"/>
        <b val="1"/>
        <color rgb="007D8B6B"/>
        <sz val="10"/>
      </font>
    </dxf>
    <dxf>
      <font>
        <name val="Montserrat"/>
        <b val="1"/>
        <color rgb="00A94442"/>
        <sz val="10"/>
      </font>
    </dxf>
    <dxf>
      <font>
        <name val="Montserrat"/>
        <b val="1"/>
        <color rgb="00A94442"/>
        <sz val="10"/>
      </font>
      <fill>
        <patternFill patternType="solid">
          <fgColor rgb="00F6DBD9"/>
        </patternFill>
      </fill>
    </dxf>
    <dxf>
      <fill>
        <patternFill patternType="solid">
          <fgColor rgb="00FBEA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sz="1150" b="1">
                <a:solidFill>
                  <a:srgbClr val="722F37"/>
                </a:solidFill>
              </a:defRPr>
            </a:pPr>
            <a:r>
              <a:rPr sz="1150" b="1">
                <a:solidFill>
                  <a:srgbClr val="722F37"/>
                </a:solidFill>
              </a:rPr>
              <a:t>Recettes vs Dépenses (réalisé)</a:t>
            </a:r>
          </a:p>
        </rich>
      </tx>
    </title>
    <plotArea>
      <barChart>
        <barDir val="col"/>
        <grouping val="clustered"/>
        <ser>
          <idx val="0"/>
          <order val="0"/>
          <tx>
            <v>Recettes</v>
          </tx>
          <spPr>
            <a:solidFill>
              <a:srgbClr val="722F37"/>
            </a:solidFill>
            <a:ln>
              <a:prstDash val="solid"/>
            </a:ln>
          </spPr>
          <cat>
            <numRef>
              <f>'📊 Suivi mensuel'!$B$7:$B$18</f>
            </numRef>
          </cat>
          <val>
            <numRef>
              <f>'📊 Suivi mensuel'!$D$7:$D$18</f>
            </numRef>
          </val>
        </ser>
        <ser>
          <idx val="1"/>
          <order val="1"/>
          <tx>
            <v>Dépenses</v>
          </tx>
          <spPr>
            <a:solidFill>
              <a:srgbClr val="8B7D6B"/>
            </a:solidFill>
            <a:ln>
              <a:prstDash val="solid"/>
            </a:ln>
          </spPr>
          <cat>
            <numRef>
              <f>'📊 Suivi mensuel'!$B$7:$B$18</f>
            </numRef>
          </cat>
          <val>
            <numRef>
              <f>'📊 Suivi mensuel'!$G$7:$G$18</f>
            </numRef>
          </val>
        </ser>
        <gapWidth val="6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quot;€&quot;" sourceLinked="0"/>
        <majorTickMark val="none"/>
        <minorTickMark val="none"/>
        <crossAx val="10"/>
      </valAx>
    </plotArea>
    <legend>
      <legendPos val="b"/>
    </legend>
    <plotVisOnly val="1"/>
    <dispBlanksAs val="gap"/>
  </chart>
  <spPr>
    <a:solidFill>
      <a:srgbClr val="F5F0E8"/>
    </a:solidFill>
    <a:ln>
      <a:noFill/>
      <a:prstDash val="solid"/>
    </a:ln>
  </spPr>
</chartSpace>
</file>

<file path=xl/charts/chart2.xml><?xml version="1.0" encoding="utf-8"?>
<chartSpace xmlns:a="http://schemas.openxmlformats.org/drawingml/2006/main" xmlns="http://schemas.openxmlformats.org/drawingml/2006/chart">
  <chart>
    <title>
      <tx>
        <rich>
          <a:bodyPr/>
          <a:p>
            <a:pPr>
              <a:defRPr sz="1150" b="1">
                <a:solidFill>
                  <a:srgbClr val="722F37"/>
                </a:solidFill>
              </a:defRPr>
            </a:pPr>
            <a:r>
              <a:rPr sz="1150" b="1">
                <a:solidFill>
                  <a:srgbClr val="722F37"/>
                </a:solidFill>
              </a:rPr>
              <a:t>Trésorerie — solde de fin de mois</a:t>
            </a:r>
          </a:p>
        </rich>
      </tx>
    </title>
    <plotArea>
      <lineChart>
        <grouping val="standard"/>
        <ser>
          <idx val="0"/>
          <order val="0"/>
          <tx>
            <v>Trésorerie</v>
          </tx>
          <spPr>
            <a:ln w="28575">
              <a:solidFill>
                <a:srgbClr val="722F37"/>
              </a:solidFill>
              <a:prstDash val="solid"/>
            </a:ln>
          </spPr>
          <marker>
            <symbol val="none"/>
            <spPr>
              <a:ln>
                <a:prstDash val="solid"/>
              </a:ln>
            </spPr>
          </marker>
          <cat>
            <numRef>
              <f>'🏦 Trésorerie'!$C$5:$N$5</f>
            </numRef>
          </cat>
          <val>
            <numRef>
              <f>'🏦 Trésorerie'!$C$20:$N$20</f>
            </numRef>
          </val>
          <smooth val="1"/>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numFmt formatCode="#,##0 &quot;€&quot;" sourceLinked="0"/>
        <majorTickMark val="none"/>
        <minorTickMark val="none"/>
        <crossAx val="10"/>
      </valAx>
    </plotArea>
    <plotVisOnly val="1"/>
    <dispBlanksAs val="gap"/>
  </chart>
  <spPr>
    <a:solidFill>
      <a:srgbClr val="F5F0E8"/>
    </a:solidFill>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20</row>
      <rowOff>0</rowOff>
    </from>
    <ext cx="4752000" cy="2951999"/>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722F37"/>
    <outlinePr summaryBelow="1" summaryRight="1"/>
    <pageSetUpPr/>
  </sheetPr>
  <dimension ref="A1:Q50"/>
  <sheetViews>
    <sheetView showGridLines="0" workbookViewId="0">
      <selection activeCell="A1" sqref="A1"/>
    </sheetView>
  </sheetViews>
  <sheetFormatPr baseColWidth="8" defaultRowHeight="15"/>
  <cols>
    <col width="2.5"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3" customWidth="1" min="14" max="14"/>
    <col width="30" customWidth="1" min="16" max="16"/>
    <col width="14" customWidth="1" min="17" max="17"/>
  </cols>
  <sheetData>
    <row r="1" ht="30" customHeight="1">
      <c r="A1" s="1">
        <f>"🏠  "&amp;UPPER(NOM_ENT)&amp;" — TABLEAU DE BORD "&amp;ANNEE</f>
        <v/>
      </c>
      <c r="O1" s="2" t="n"/>
      <c r="P1" s="2" t="n"/>
      <c r="Q1" s="2" t="n"/>
    </row>
    <row r="2" ht="16" customHeight="1">
      <c r="A2" s="3" t="inlineStr">
        <is>
          <t>En clair : toute votre entreprise en un coup d'œil — santé, alertes et chiffres clés.</t>
        </is>
      </c>
      <c r="O2" s="2" t="n"/>
      <c r="P2" s="2" t="n"/>
      <c r="Q2" s="2" t="n"/>
    </row>
    <row r="3">
      <c r="A3" s="2" t="n"/>
      <c r="B3" s="4" t="inlineStr">
        <is>
          <t>VUE D'ENSEMBLE</t>
        </is>
      </c>
      <c r="C3" s="2" t="n"/>
      <c r="D3" s="2" t="n"/>
      <c r="E3" s="2" t="n"/>
      <c r="F3" s="2" t="n"/>
      <c r="G3" s="2" t="n"/>
      <c r="H3" s="2" t="n"/>
      <c r="I3" s="2" t="n"/>
      <c r="J3" s="2" t="n"/>
      <c r="K3" s="5">
        <f>"🚀 Configuration : "&amp;COUNTIF('🚀 Démarrer ici'!$I$7:$I$19,"✅")&amp;"/5 étapes"</f>
        <v/>
      </c>
      <c r="N3" s="2" t="n"/>
      <c r="O3" s="2" t="n"/>
      <c r="P3" s="6" t="inlineStr">
        <is>
          <t>Zone de calcul — ne pas supprimer</t>
        </is>
      </c>
    </row>
    <row r="4" ht="16" customHeight="1">
      <c r="A4" s="2" t="n"/>
      <c r="B4" s="7" t="inlineStr">
        <is>
          <t>CA RÉALISÉ (HT)</t>
        </is>
      </c>
      <c r="C4" s="8" t="n"/>
      <c r="D4" s="7" t="inlineStr">
        <is>
          <t>DÉPENSES RÉALISÉES</t>
        </is>
      </c>
      <c r="E4" s="8" t="n"/>
      <c r="F4" s="7" t="inlineStr">
        <is>
          <t>RÉSULTAT</t>
        </is>
      </c>
      <c r="G4" s="8" t="n"/>
      <c r="H4" s="7" t="inlineStr">
        <is>
          <t>TRÉSORERIE ACTUELLE</t>
        </is>
      </c>
      <c r="I4" s="8" t="n"/>
      <c r="J4" s="7" t="inlineStr">
        <is>
          <t>TVA ESTIMÉE À PAYER</t>
        </is>
      </c>
      <c r="K4" s="8" t="n"/>
      <c r="L4" s="7" t="inlineStr">
        <is>
          <t>PROCHAINE ÉCHÉANCE</t>
        </is>
      </c>
      <c r="M4" s="8" t="n"/>
      <c r="N4" s="2" t="n"/>
      <c r="O4" s="2" t="n"/>
      <c r="P4" s="6" t="inlineStr">
        <is>
          <t>Mois en cours (borné à l'année)</t>
        </is>
      </c>
      <c r="Q4" s="9">
        <f>IF(YEAR(TODAY())&gt;ANNEE,12,IF(YEAR(TODAY())&lt;ANNEE,1,MONTH(TODAY())))</f>
        <v/>
      </c>
    </row>
    <row r="5" ht="26" customHeight="1">
      <c r="A5" s="2" t="n"/>
      <c r="B5" s="10">
        <f>'📊 Suivi mensuel'!$D$19</f>
        <v/>
      </c>
      <c r="C5" s="11" t="n"/>
      <c r="D5" s="10">
        <f>'📊 Suivi mensuel'!$G$19</f>
        <v/>
      </c>
      <c r="E5" s="11" t="n"/>
      <c r="F5" s="10">
        <f>'📊 Suivi mensuel'!$J$19</f>
        <v/>
      </c>
      <c r="G5" s="11" t="n"/>
      <c r="H5" s="10">
        <f>INDEX('🏦 Trésorerie'!$C$20:$N$20,IF(YEAR(TODAY())&gt;ANNEE,12,IF(YEAR(TODAY())&lt;ANNEE,1,MONTH(TODAY()))))</f>
        <v/>
      </c>
      <c r="I5" s="11" t="n"/>
      <c r="J5" s="10">
        <f>'🧾 TVA &amp; Impôts'!$H$13</f>
        <v/>
      </c>
      <c r="K5" s="11" t="n"/>
      <c r="L5" s="12">
        <f>IF('📅 Échéancier'!$J$5=0,"—",'📅 Échéancier'!$J$5)</f>
        <v/>
      </c>
      <c r="M5" s="11" t="n"/>
      <c r="N5" s="2" t="n"/>
      <c r="O5" s="2" t="n"/>
      <c r="P5" s="6" t="inlineStr">
        <is>
          <t>CA réalisé cumulé à date</t>
        </is>
      </c>
      <c r="Q5" s="13">
        <f>SUM('📊 Suivi mensuel'!$D$7:INDEX('📊 Suivi mensuel'!$D$7:$D$18,$Q$4))</f>
        <v/>
      </c>
    </row>
    <row r="6" ht="22" customHeight="1">
      <c r="A6" s="2" t="n"/>
      <c r="B6" s="14" t="inlineStr">
        <is>
          <t>chiffre d'affaires facturé</t>
        </is>
      </c>
      <c r="C6" s="15" t="n"/>
      <c r="D6" s="14" t="inlineStr">
        <is>
          <t>HT + salaire &amp; charges</t>
        </is>
      </c>
      <c r="E6" s="15" t="n"/>
      <c r="F6" s="14" t="inlineStr">
        <is>
          <t>CA − dépenses</t>
        </is>
      </c>
      <c r="G6" s="15" t="n"/>
      <c r="H6" s="14" t="inlineStr">
        <is>
          <t>solde fin du mois en cours</t>
        </is>
      </c>
      <c r="I6" s="15" t="n"/>
      <c r="J6" s="14" t="inlineStr">
        <is>
          <t>estimation — mois en cours</t>
        </is>
      </c>
      <c r="K6" s="15" t="n"/>
      <c r="L6" s="14">
        <f>IF('📅 Échéancier'!$J$5=0,"aucune échéance à venir",'📅 Échéancier'!$J$6&amp;" · "&amp;ROUND('📅 Échéancier'!$J$7,0)&amp;" € · dans "&amp;'📅 Échéancier'!$J$8&amp;" j")</f>
        <v/>
      </c>
      <c r="M6" s="15" t="n"/>
      <c r="N6" s="2" t="n"/>
      <c r="O6" s="2" t="n"/>
      <c r="P6" s="6" t="inlineStr">
        <is>
          <t>Dépenses réalisées cumulées à date</t>
        </is>
      </c>
      <c r="Q6" s="13">
        <f>SUM('📊 Suivi mensuel'!$G$7:INDEX('📊 Suivi mensuel'!$G$7:$G$18,$Q$4))</f>
        <v/>
      </c>
    </row>
    <row r="7">
      <c r="A7" s="2" t="n"/>
      <c r="B7" s="2" t="n"/>
      <c r="C7" s="2" t="n"/>
      <c r="D7" s="2" t="n"/>
      <c r="E7" s="2" t="n"/>
      <c r="F7" s="2" t="n"/>
      <c r="G7" s="2" t="n"/>
      <c r="H7" s="2" t="n"/>
      <c r="I7" s="2" t="n"/>
      <c r="J7" s="2" t="n"/>
      <c r="K7" s="2" t="n"/>
      <c r="L7" s="2" t="n"/>
      <c r="M7" s="2" t="n"/>
      <c r="N7" s="2" t="n"/>
      <c r="O7" s="2" t="n"/>
      <c r="P7" s="6" t="inlineStr">
        <is>
          <t>CA prévu cumulé à date</t>
        </is>
      </c>
      <c r="Q7" s="13">
        <f>SUM('📊 Suivi mensuel'!$C$7:INDEX('📊 Suivi mensuel'!$C$7:$C$18,$Q$4))</f>
        <v/>
      </c>
    </row>
    <row r="8" ht="13" customHeight="1">
      <c r="A8" s="2" t="n"/>
      <c r="B8" s="7" t="inlineStr">
        <is>
          <t>⏳ RUNWAY</t>
        </is>
      </c>
      <c r="C8" s="16" t="n"/>
      <c r="D8" s="8" t="n"/>
      <c r="E8" s="7" t="inlineStr">
        <is>
          <t>📈 MARGE NETTE</t>
        </is>
      </c>
      <c r="F8" s="16" t="n"/>
      <c r="G8" s="8" t="n"/>
      <c r="H8" s="7" t="inlineStr">
        <is>
          <t>🎯 SEUIL DE RENTABILITÉ</t>
        </is>
      </c>
      <c r="I8" s="16" t="n"/>
      <c r="J8" s="8" t="n"/>
      <c r="K8" s="7" t="inlineStr">
        <is>
          <t>🔮 RÉSULTAT PROJETÉ</t>
        </is>
      </c>
      <c r="L8" s="16" t="n"/>
      <c r="M8" s="8" t="n"/>
      <c r="N8" s="2" t="n"/>
      <c r="O8" s="2" t="n"/>
      <c r="P8" s="6" t="inlineStr">
        <is>
          <t>Dépenses prévues cumulées à date</t>
        </is>
      </c>
      <c r="Q8" s="13">
        <f>SUM('📊 Suivi mensuel'!$F$7:INDEX('📊 Suivi mensuel'!$F$7:$F$18,$Q$4))</f>
        <v/>
      </c>
    </row>
    <row r="9" ht="22" customHeight="1">
      <c r="A9" s="2" t="n"/>
      <c r="B9" s="17">
        <f>IF($Q$19=0,"—",ROUND($Q$11,1)&amp;" mois d'autonomie")</f>
        <v/>
      </c>
      <c r="C9" s="18" t="n"/>
      <c r="D9" s="15" t="n"/>
      <c r="E9" s="17">
        <f>IF($Q$19=0,"—",ROUND($Q$12*100,0)&amp;" % du CA")</f>
        <v/>
      </c>
      <c r="F9" s="18" t="n"/>
      <c r="G9" s="15" t="n"/>
      <c r="H9" s="17">
        <f>IF($Q$19=0,"—",ROUND($Q$17,0)&amp;" €/mois de CA pour couvrir vos charges")</f>
        <v/>
      </c>
      <c r="I9" s="18" t="n"/>
      <c r="J9" s="15" t="n"/>
      <c r="K9" s="17">
        <f>IF($Q$19=0,"—",ROUND($Q$18,0)&amp;" € fin d'année (run-rate)")</f>
        <v/>
      </c>
      <c r="L9" s="18" t="n"/>
      <c r="M9" s="15" t="n"/>
      <c r="N9" s="2" t="n"/>
      <c r="O9" s="2" t="n"/>
      <c r="P9" s="6" t="inlineStr">
        <is>
          <t>Trésorerie actuelle</t>
        </is>
      </c>
      <c r="Q9" s="13">
        <f>INDEX('🏦 Trésorerie'!$C$20:$N$20,$Q$4)</f>
        <v/>
      </c>
    </row>
    <row r="10">
      <c r="A10" s="2" t="n"/>
      <c r="B10" s="2" t="n"/>
      <c r="C10" s="2" t="n"/>
      <c r="D10" s="2" t="n"/>
      <c r="E10" s="2" t="n"/>
      <c r="F10" s="2" t="n"/>
      <c r="G10" s="2" t="n"/>
      <c r="H10" s="2" t="n"/>
      <c r="I10" s="2" t="n"/>
      <c r="J10" s="2" t="n"/>
      <c r="K10" s="2" t="n"/>
      <c r="L10" s="2" t="n"/>
      <c r="M10" s="2" t="n"/>
      <c r="N10" s="2" t="n"/>
      <c r="O10" s="2" t="n"/>
      <c r="P10" s="6" t="inlineStr">
        <is>
          <t>Décaissements mensuels moyens</t>
        </is>
      </c>
      <c r="Q10" s="13">
        <f>IFERROR(SUM('🏦 Trésorerie'!$C$19:INDEX('🏦 Trésorerie'!$C$19:$N$19,$Q$4))/$Q$4,0)</f>
        <v/>
      </c>
    </row>
    <row r="11" ht="20" customHeight="1">
      <c r="A11" s="2" t="n"/>
      <c r="B11" s="19" t="inlineStr">
        <is>
          <t>SANTÉ &amp; RECOMMANDATIONS</t>
        </is>
      </c>
      <c r="N11" s="2" t="n"/>
      <c r="O11" s="2" t="n"/>
      <c r="P11" s="6" t="inlineStr">
        <is>
          <t>Runway (mois d'autonomie)</t>
        </is>
      </c>
      <c r="Q11" s="20">
        <f>IFERROR(IF($Q$10&lt;=0,99,MAX(0,$Q$9)/$Q$10),0)</f>
        <v/>
      </c>
    </row>
    <row r="12" ht="20" customHeight="1">
      <c r="A12" s="2" t="n"/>
      <c r="B12" s="21" t="inlineStr">
        <is>
          <t>🩺 SANTÉ FINANCIÈRE</t>
        </is>
      </c>
      <c r="C12" s="22" t="n"/>
      <c r="D12" s="23">
        <f>IF($Q$19=0,"— en attente de données",IF($Q$25&gt;=75,"🟢 Solide",IF($Q$25&gt;=40,"🟡 À surveiller","🔴 Fragile")))</f>
        <v/>
      </c>
      <c r="E12" s="22" t="n"/>
      <c r="F12" s="22" t="n"/>
      <c r="G12" s="24" t="n"/>
      <c r="H12" s="25" t="inlineStr">
        <is>
          <t>🧭 VOS RECOMMANDATIONS DU MOMENT</t>
        </is>
      </c>
      <c r="I12" s="22" t="n"/>
      <c r="J12" s="22" t="n"/>
      <c r="K12" s="22" t="n"/>
      <c r="L12" s="22" t="n"/>
      <c r="M12" s="24" t="n"/>
      <c r="N12" s="2" t="n"/>
      <c r="O12" s="2" t="n"/>
      <c r="P12" s="6" t="inlineStr">
        <is>
          <t>Marge nette réalisée</t>
        </is>
      </c>
      <c r="Q12" s="26">
        <f>IFERROR(($Q$5-$Q$6)/$Q$5,0)</f>
        <v/>
      </c>
    </row>
    <row r="13" ht="24" customHeight="1">
      <c r="A13" s="2" t="n"/>
      <c r="B13" s="27">
        <f>IF($Q$19=0,"—",$Q$25&amp;" / 100")</f>
        <v/>
      </c>
      <c r="D13" s="28">
        <f>IF($Q$19=0,"",REPT("█",ROUND($Q$25/5,0))&amp;REPT("░",20-ROUND($Q$25/5,0)))</f>
        <v/>
      </c>
      <c r="G13" s="29" t="n"/>
      <c r="H13" s="30">
        <f>IF($Q$19=0,"— En attente de vos premières saisies.",IF($Q$11&lt;3,"⚠️ Moins de 3 mois d'autonomie de trésorerie. Priorité : relancez vos factures non encaissées ("&amp;ROUND($Q$16,0)&amp;" € en attente) et décalez les dépenses non urgentes.","✓ RAS — trésorerie : "&amp;ROUND($Q$11,1)&amp;" mois d'autonomie devant vous."))</f>
        <v/>
      </c>
      <c r="M13" s="29" t="n"/>
      <c r="N13" s="2" t="n"/>
      <c r="O13" s="2" t="n"/>
      <c r="P13" s="6" t="inlineStr">
        <is>
          <t>Dépenses réalisées / prévues à date</t>
        </is>
      </c>
      <c r="Q13" s="26">
        <f>IFERROR($Q$6/$Q$8,1)</f>
        <v/>
      </c>
    </row>
    <row r="14" ht="28" customHeight="1">
      <c r="A14" s="2" t="n"/>
      <c r="B14" s="31" t="inlineStr">
        <is>
          <t>Trésorerie (30 %)</t>
        </is>
      </c>
      <c r="D14" s="32">
        <f>IF($Q$19=0,"—",$Q$20&amp;"/100")</f>
        <v/>
      </c>
      <c r="E14" s="33">
        <f>IF($Q$19=0,"— en attente de données","Autonomie : "&amp;ROUND($Q$11,1)&amp;" mois de décaissements devant vous (objectif : 6).")</f>
        <v/>
      </c>
      <c r="G14" s="29" t="n"/>
      <c r="H14" s="30">
        <f>IF($Q$19=0,"— En attente de vos premières saisies.",IF($Q$13&gt;1.1,"📊 Vos dépenses dépassent le budget de "&amp;ROUND(($Q$13-1)*100,0)&amp;" %. Consultez le 📊 Suivi mensuel pour repérer la catégorie en cause.","✓ RAS — budget respecté à ce stade de l'année."))</f>
        <v/>
      </c>
      <c r="M14" s="29" t="n"/>
      <c r="N14" s="2" t="n"/>
      <c r="O14" s="2" t="n"/>
      <c r="P14" s="6" t="inlineStr">
        <is>
          <t>CA réalisé / prévu à date</t>
        </is>
      </c>
      <c r="Q14" s="26">
        <f>IFERROR($Q$5/$Q$7,0)</f>
        <v/>
      </c>
    </row>
    <row r="15" ht="28" customHeight="1">
      <c r="A15" s="2" t="n"/>
      <c r="B15" s="31" t="inlineStr">
        <is>
          <t>Rentabilité (25 %)</t>
        </is>
      </c>
      <c r="D15" s="32">
        <f>IF($Q$19=0,"—",$Q$21&amp;"/100")</f>
        <v/>
      </c>
      <c r="E15" s="33">
        <f>IF($Q$19=0,"— en attente de données","Marge nette : "&amp;ROUND($Q$12*100,0)&amp;" % du CA (objectif : 20 %).")</f>
        <v/>
      </c>
      <c r="G15" s="29" t="n"/>
      <c r="H15" s="30">
        <f>IF('📅 Échéancier'!$J$5=0,"✓ RAS — aucune échéance à venir.",IF(AND('📅 Échéancier'!$J$8&lt;15,$Q$9&lt;'📅 Échéancier'!$J$7),"📅 Échéance "&amp;'📅 Échéancier'!$J$6&amp;" dans "&amp;'📅 Échéancier'!$J$8&amp;" j : prévoyez "&amp;ROUND('📅 Échéancier'!$J$7,0)&amp;" € sur le compte.","✓ RAS — prochaine échéance sous contrôle."))</f>
        <v/>
      </c>
      <c r="M15" s="29" t="n"/>
      <c r="N15" s="2" t="n"/>
      <c r="O15" s="2" t="n"/>
      <c r="P15" s="6" t="inlineStr">
        <is>
          <t>Provisions du mois (estimation)</t>
        </is>
      </c>
      <c r="Q15" s="13">
        <f>'🧾 TVA &amp; Impôts'!$H$17</f>
        <v/>
      </c>
    </row>
    <row r="16" ht="28" customHeight="1">
      <c r="A16" s="2" t="n"/>
      <c r="B16" s="31" t="inlineStr">
        <is>
          <t>Respect du budget (20 %)</t>
        </is>
      </c>
      <c r="D16" s="32">
        <f>IF($Q$19=0,"—",$Q$22&amp;"/100")</f>
        <v/>
      </c>
      <c r="E16" s="33">
        <f>IF($Q$19=0,"— en attente de données","Dépenses : "&amp;ROUND($Q$13*100,0)&amp;" % du budget prévu à date (objectif : 100 % maximum).")</f>
        <v/>
      </c>
      <c r="G16" s="29" t="n"/>
      <c r="H16" s="30">
        <f>IF($Q$19=0,"— En attente de vos premières saisies.",IF(AND($Q$26&gt;0,$Q$16&gt;0.2*$Q$26),"💶 "&amp;ROUND($Q$16,0)&amp;" € facturés mais non encaissés. Pensez aux relances — c'est de la trésorerie qui dort.","✓ RAS — encaissements à jour."))</f>
        <v/>
      </c>
      <c r="M16" s="29" t="n"/>
      <c r="N16" s="2" t="n"/>
      <c r="O16" s="2" t="n"/>
      <c r="P16" s="6" t="inlineStr">
        <is>
          <t>Factures non encaissées (TTC)</t>
        </is>
      </c>
      <c r="Q16" s="13">
        <f>SUMIFS('💰 Recettes'!$H$10:$H$209,'💰 Recettes'!$I$10:$I$209,"Non")</f>
        <v/>
      </c>
    </row>
    <row r="17" ht="28" customHeight="1">
      <c r="A17" s="2" t="n"/>
      <c r="B17" s="31" t="inlineStr">
        <is>
          <t>Dynamique CA (15 %)</t>
        </is>
      </c>
      <c r="D17" s="32">
        <f>IF($Q$19=0,"—",$Q$23&amp;"/100")</f>
        <v/>
      </c>
      <c r="E17" s="33">
        <f>IF($Q$19=0,"— en attente de données","CA réalisé : "&amp;ROUND($Q$14*100,0)&amp;" % du prévisionnel à date.")</f>
        <v/>
      </c>
      <c r="G17" s="29" t="n"/>
      <c r="H17" s="30">
        <f>IF($Q$19=0,"🌱 Commencez à saisir vos factures et vos dépenses : vos recommandations personnalisées s'afficheront ici.",IF(COUNTIF($H$13:$H$16,"✓*")=4,"🎉 Tous les voyants sont au vert ce mois-ci. Continuez comme ça !","☝️ Traitez les points ci-dessus — le reste est sous contrôle."))</f>
        <v/>
      </c>
      <c r="M17" s="29" t="n"/>
      <c r="N17" s="2" t="n"/>
      <c r="O17" s="2" t="n"/>
      <c r="P17" s="6" t="inlineStr">
        <is>
          <t>Seuil de rentabilité mensuel</t>
        </is>
      </c>
      <c r="Q17" s="13">
        <f>IFERROR($Q$6/$Q$4,0)</f>
        <v/>
      </c>
    </row>
    <row r="18" ht="18" customHeight="1">
      <c r="A18" s="2" t="n"/>
      <c r="B18" s="34" t="inlineStr">
        <is>
          <t>Provisions (10 %)</t>
        </is>
      </c>
      <c r="C18" s="35" t="n"/>
      <c r="D18" s="36">
        <f>IF($Q$19=0,"—",$Q$24&amp;"/100")</f>
        <v/>
      </c>
      <c r="E18" s="37">
        <f>IF($Q$19=0,"— en attente de données",IF($Q$24=100,"Les provisions du mois sont couvertes par la trésorerie.","La trésorerie ne couvre pas encore les provisions du mois."))</f>
        <v/>
      </c>
      <c r="F18" s="35" t="n"/>
      <c r="G18" s="38" t="n"/>
      <c r="H18" s="39" t="inlineStr">
        <is>
          <t>Recommandations générales, à titre indicatif.</t>
        </is>
      </c>
      <c r="I18" s="35" t="n"/>
      <c r="J18" s="35" t="n"/>
      <c r="K18" s="35" t="n"/>
      <c r="L18" s="35" t="n"/>
      <c r="M18" s="38" t="n"/>
      <c r="N18" s="2" t="n"/>
      <c r="O18" s="2" t="n"/>
      <c r="P18" s="6" t="inlineStr">
        <is>
          <t>Résultat projeté fin d'année (run-rate)</t>
        </is>
      </c>
      <c r="Q18" s="13">
        <f>IFERROR(($Q$5-$Q$6)/$Q$4*12,0)</f>
        <v/>
      </c>
    </row>
    <row r="19">
      <c r="A19" s="2" t="n"/>
      <c r="B19" s="2" t="n"/>
      <c r="C19" s="2" t="n"/>
      <c r="D19" s="2" t="n"/>
      <c r="E19" s="2" t="n"/>
      <c r="F19" s="2" t="n"/>
      <c r="G19" s="2" t="n"/>
      <c r="H19" s="2" t="n"/>
      <c r="I19" s="2" t="n"/>
      <c r="J19" s="2" t="n"/>
      <c r="K19" s="2" t="n"/>
      <c r="L19" s="2" t="n"/>
      <c r="M19" s="2" t="n"/>
      <c r="N19" s="2" t="n"/>
      <c r="O19" s="2" t="n"/>
      <c r="P19" s="6" t="inlineStr">
        <is>
          <t>Données saisies ? (1 = oui)</t>
        </is>
      </c>
      <c r="Q19" s="9">
        <f>IF($Q$5+'💸 Dépenses'!$O$6=0,0,1)</f>
        <v/>
      </c>
    </row>
    <row r="20" ht="20" customHeight="1">
      <c r="A20" s="2" t="n"/>
      <c r="B20" s="19" t="inlineStr">
        <is>
          <t>ANALYSES</t>
        </is>
      </c>
      <c r="N20" s="2" t="n"/>
      <c r="O20" s="2" t="n"/>
      <c r="P20" s="6" t="inlineStr">
        <is>
          <t>Score trésorerie /100</t>
        </is>
      </c>
      <c r="Q20" s="9">
        <f>MIN(100,MAX(0,ROUND($Q$11/6*100,0)))</f>
        <v/>
      </c>
    </row>
    <row r="21">
      <c r="A21" s="2" t="n"/>
      <c r="B21" s="2" t="n"/>
      <c r="C21" s="2" t="n"/>
      <c r="D21" s="2" t="n"/>
      <c r="E21" s="2" t="n"/>
      <c r="F21" s="2" t="n"/>
      <c r="G21" s="2" t="n"/>
      <c r="H21" s="2" t="n"/>
      <c r="I21" s="2" t="n"/>
      <c r="J21" s="2" t="n"/>
      <c r="K21" s="2" t="n"/>
      <c r="L21" s="2" t="n"/>
      <c r="M21" s="2" t="n"/>
      <c r="N21" s="2" t="n"/>
      <c r="O21" s="2" t="n"/>
      <c r="P21" s="6" t="inlineStr">
        <is>
          <t>Score rentabilité /100</t>
        </is>
      </c>
      <c r="Q21" s="9">
        <f>MIN(100,MAX(0,ROUND($Q$12/0.2*100,0)))</f>
        <v/>
      </c>
    </row>
    <row r="22">
      <c r="A22" s="2" t="n"/>
      <c r="B22" s="2" t="n"/>
      <c r="C22" s="2" t="n"/>
      <c r="D22" s="2" t="n"/>
      <c r="E22" s="2" t="n"/>
      <c r="F22" s="2" t="n"/>
      <c r="G22" s="2" t="n"/>
      <c r="H22" s="2" t="n"/>
      <c r="I22" s="2" t="n"/>
      <c r="J22" s="2" t="n"/>
      <c r="K22" s="2" t="n"/>
      <c r="L22" s="2" t="n"/>
      <c r="M22" s="2" t="n"/>
      <c r="N22" s="2" t="n"/>
      <c r="O22" s="2" t="n"/>
      <c r="P22" s="6" t="inlineStr">
        <is>
          <t>Score respect du budget /100</t>
        </is>
      </c>
      <c r="Q22" s="9">
        <f>MIN(100,MAX(0,ROUND(100-MAX(0,$Q$13-1)*200,0)))</f>
        <v/>
      </c>
    </row>
    <row r="23">
      <c r="A23" s="2" t="n"/>
      <c r="B23" s="2" t="n"/>
      <c r="C23" s="2" t="n"/>
      <c r="D23" s="2" t="n"/>
      <c r="E23" s="2" t="n"/>
      <c r="F23" s="2" t="n"/>
      <c r="G23" s="2" t="n"/>
      <c r="H23" s="2" t="n"/>
      <c r="I23" s="2" t="n"/>
      <c r="J23" s="2" t="n"/>
      <c r="K23" s="2" t="n"/>
      <c r="L23" s="2" t="n"/>
      <c r="M23" s="2" t="n"/>
      <c r="N23" s="2" t="n"/>
      <c r="O23" s="2" t="n"/>
      <c r="P23" s="6" t="inlineStr">
        <is>
          <t>Score dynamique CA /100</t>
        </is>
      </c>
      <c r="Q23" s="9">
        <f>MIN(100,MAX(0,ROUND($Q$14*100,0)))</f>
        <v/>
      </c>
    </row>
    <row r="24">
      <c r="A24" s="2" t="n"/>
      <c r="B24" s="2" t="n"/>
      <c r="C24" s="2" t="n"/>
      <c r="D24" s="2" t="n"/>
      <c r="E24" s="2" t="n"/>
      <c r="F24" s="2" t="n"/>
      <c r="G24" s="2" t="n"/>
      <c r="H24" s="2" t="n"/>
      <c r="I24" s="2" t="n"/>
      <c r="J24" s="2" t="n"/>
      <c r="K24" s="2" t="n"/>
      <c r="L24" s="2" t="n"/>
      <c r="M24" s="2" t="n"/>
      <c r="N24" s="2" t="n"/>
      <c r="O24" s="2" t="n"/>
      <c r="P24" s="6" t="inlineStr">
        <is>
          <t>Score provisions /100</t>
        </is>
      </c>
      <c r="Q24" s="9">
        <f>IF($Q$9&gt;=$Q$15,100,0)</f>
        <v/>
      </c>
    </row>
    <row r="25">
      <c r="A25" s="2" t="n"/>
      <c r="B25" s="2" t="n"/>
      <c r="C25" s="2" t="n"/>
      <c r="D25" s="2" t="n"/>
      <c r="E25" s="2" t="n"/>
      <c r="F25" s="2" t="n"/>
      <c r="G25" s="2" t="n"/>
      <c r="H25" s="2" t="n"/>
      <c r="I25" s="2" t="n"/>
      <c r="J25" s="2" t="n"/>
      <c r="K25" s="2" t="n"/>
      <c r="L25" s="2" t="n"/>
      <c r="M25" s="2" t="n"/>
      <c r="N25" s="2" t="n"/>
      <c r="O25" s="2" t="n"/>
      <c r="P25" s="6" t="inlineStr">
        <is>
          <t>SCORE GLOBAL /100</t>
        </is>
      </c>
      <c r="Q25" s="9">
        <f>ROUND(0.3*$Q$20+0.25*$Q$21+0.2*$Q$22+0.15*$Q$23+0.1*$Q$24,0)</f>
        <v/>
      </c>
    </row>
    <row r="26">
      <c r="A26" s="2" t="n"/>
      <c r="B26" s="2" t="n"/>
      <c r="C26" s="2" t="n"/>
      <c r="D26" s="2" t="n"/>
      <c r="E26" s="2" t="n"/>
      <c r="F26" s="2" t="n"/>
      <c r="G26" s="2" t="n"/>
      <c r="H26" s="2" t="n"/>
      <c r="I26" s="2" t="n"/>
      <c r="J26" s="2" t="n"/>
      <c r="K26" s="2" t="n"/>
      <c r="L26" s="2" t="n"/>
      <c r="M26" s="2" t="n"/>
      <c r="N26" s="2" t="n"/>
      <c r="O26" s="2" t="n"/>
      <c r="P26" s="6" t="inlineStr">
        <is>
          <t>CA facturé TTC (année)</t>
        </is>
      </c>
      <c r="Q26" s="13">
        <f>SUM('💰 Recettes'!$H$10:$H$209)</f>
        <v/>
      </c>
    </row>
    <row r="27">
      <c r="A27" s="2" t="n"/>
      <c r="B27" s="2" t="n"/>
      <c r="C27" s="2" t="n"/>
      <c r="D27" s="2" t="n"/>
      <c r="E27" s="2" t="n"/>
      <c r="F27" s="2" t="n"/>
      <c r="G27" s="2" t="n"/>
      <c r="H27" s="2" t="n"/>
      <c r="I27" s="2" t="n"/>
      <c r="J27" s="2" t="n"/>
      <c r="K27" s="2" t="n"/>
      <c r="L27" s="2" t="n"/>
      <c r="M27" s="2" t="n"/>
      <c r="N27" s="2" t="n"/>
      <c r="O27" s="2" t="n"/>
      <c r="P27" s="2" t="n"/>
      <c r="Q27" s="2" t="n"/>
    </row>
    <row r="28">
      <c r="A28" s="2" t="n"/>
      <c r="B28" s="2" t="n"/>
      <c r="C28" s="2" t="n"/>
      <c r="D28" s="2" t="n"/>
      <c r="E28" s="2" t="n"/>
      <c r="F28" s="2" t="n"/>
      <c r="G28" s="2" t="n"/>
      <c r="H28" s="2" t="n"/>
      <c r="I28" s="2" t="n"/>
      <c r="J28" s="2" t="n"/>
      <c r="K28" s="2" t="n"/>
      <c r="L28" s="2" t="n"/>
      <c r="M28" s="2" t="n"/>
      <c r="N28" s="2" t="n"/>
      <c r="O28" s="2" t="n"/>
      <c r="P28" s="6">
        <f>'📋 Budget'!$B$16</f>
        <v/>
      </c>
      <c r="Q28" s="13">
        <f>SUMIFS('💸 Dépenses'!$F$10:$F$309,'💸 Dépenses'!$D$10:$D$309,$P28)+(ROW()-27)/1000000</f>
        <v/>
      </c>
    </row>
    <row r="29">
      <c r="A29" s="2" t="n"/>
      <c r="B29" s="2" t="n"/>
      <c r="C29" s="2" t="n"/>
      <c r="D29" s="2" t="n"/>
      <c r="E29" s="2" t="n"/>
      <c r="F29" s="2" t="n"/>
      <c r="G29" s="2" t="n"/>
      <c r="H29" s="2" t="n"/>
      <c r="I29" s="2" t="n"/>
      <c r="J29" s="2" t="n"/>
      <c r="K29" s="2" t="n"/>
      <c r="L29" s="2" t="n"/>
      <c r="M29" s="2" t="n"/>
      <c r="N29" s="2" t="n"/>
      <c r="O29" s="2" t="n"/>
      <c r="P29" s="6">
        <f>'📋 Budget'!$B$17</f>
        <v/>
      </c>
      <c r="Q29" s="13">
        <f>SUMIFS('💸 Dépenses'!$F$10:$F$309,'💸 Dépenses'!$D$10:$D$309,$P29)+(ROW()-27)/1000000</f>
        <v/>
      </c>
    </row>
    <row r="30">
      <c r="A30" s="2" t="n"/>
      <c r="B30" s="2" t="n"/>
      <c r="C30" s="2" t="n"/>
      <c r="D30" s="2" t="n"/>
      <c r="E30" s="2" t="n"/>
      <c r="F30" s="2" t="n"/>
      <c r="G30" s="2" t="n"/>
      <c r="H30" s="2" t="n"/>
      <c r="I30" s="2" t="n"/>
      <c r="J30" s="2" t="n"/>
      <c r="K30" s="2" t="n"/>
      <c r="L30" s="2" t="n"/>
      <c r="M30" s="2" t="n"/>
      <c r="N30" s="2" t="n"/>
      <c r="O30" s="2" t="n"/>
      <c r="P30" s="6">
        <f>'📋 Budget'!$B$18</f>
        <v/>
      </c>
      <c r="Q30" s="13">
        <f>SUMIFS('💸 Dépenses'!$F$10:$F$309,'💸 Dépenses'!$D$10:$D$309,$P30)+(ROW()-27)/1000000</f>
        <v/>
      </c>
    </row>
    <row r="31">
      <c r="A31" s="2" t="n"/>
      <c r="B31" s="2" t="n"/>
      <c r="C31" s="2" t="n"/>
      <c r="D31" s="2" t="n"/>
      <c r="E31" s="2" t="n"/>
      <c r="F31" s="2" t="n"/>
      <c r="G31" s="2" t="n"/>
      <c r="H31" s="2" t="n"/>
      <c r="I31" s="2" t="n"/>
      <c r="J31" s="2" t="n"/>
      <c r="K31" s="2" t="n"/>
      <c r="L31" s="2" t="n"/>
      <c r="M31" s="2" t="n"/>
      <c r="N31" s="2" t="n"/>
      <c r="O31" s="2" t="n"/>
      <c r="P31" s="6">
        <f>'📋 Budget'!$B$19</f>
        <v/>
      </c>
      <c r="Q31" s="13">
        <f>SUMIFS('💸 Dépenses'!$F$10:$F$309,'💸 Dépenses'!$D$10:$D$309,$P31)+(ROW()-27)/1000000</f>
        <v/>
      </c>
    </row>
    <row r="32">
      <c r="A32" s="2" t="n"/>
      <c r="B32" s="2" t="n"/>
      <c r="C32" s="2" t="n"/>
      <c r="D32" s="2" t="n"/>
      <c r="E32" s="2" t="n"/>
      <c r="F32" s="2" t="n"/>
      <c r="G32" s="2" t="n"/>
      <c r="H32" s="2" t="n"/>
      <c r="I32" s="2" t="n"/>
      <c r="J32" s="2" t="n"/>
      <c r="K32" s="2" t="n"/>
      <c r="L32" s="2" t="n"/>
      <c r="M32" s="2" t="n"/>
      <c r="N32" s="2" t="n"/>
      <c r="O32" s="2" t="n"/>
      <c r="P32" s="6">
        <f>'📋 Budget'!$B$20</f>
        <v/>
      </c>
      <c r="Q32" s="13">
        <f>SUMIFS('💸 Dépenses'!$F$10:$F$309,'💸 Dépenses'!$D$10:$D$309,$P32)+(ROW()-27)/1000000</f>
        <v/>
      </c>
    </row>
    <row r="33">
      <c r="A33" s="2" t="n"/>
      <c r="B33" s="2" t="n"/>
      <c r="C33" s="2" t="n"/>
      <c r="D33" s="2" t="n"/>
      <c r="E33" s="2" t="n"/>
      <c r="F33" s="2" t="n"/>
      <c r="G33" s="2" t="n"/>
      <c r="H33" s="2" t="n"/>
      <c r="I33" s="2" t="n"/>
      <c r="J33" s="2" t="n"/>
      <c r="K33" s="2" t="n"/>
      <c r="L33" s="2" t="n"/>
      <c r="M33" s="2" t="n"/>
      <c r="N33" s="2" t="n"/>
      <c r="O33" s="2" t="n"/>
      <c r="P33" s="6">
        <f>'📋 Budget'!$B$21</f>
        <v/>
      </c>
      <c r="Q33" s="13">
        <f>SUMIFS('💸 Dépenses'!$F$10:$F$309,'💸 Dépenses'!$D$10:$D$309,$P33)+(ROW()-27)/1000000</f>
        <v/>
      </c>
    </row>
    <row r="34">
      <c r="A34" s="2" t="n"/>
      <c r="B34" s="2" t="n"/>
      <c r="C34" s="2" t="n"/>
      <c r="D34" s="2" t="n"/>
      <c r="E34" s="2" t="n"/>
      <c r="F34" s="2" t="n"/>
      <c r="G34" s="2" t="n"/>
      <c r="H34" s="2" t="n"/>
      <c r="I34" s="2" t="n"/>
      <c r="J34" s="2" t="n"/>
      <c r="K34" s="2" t="n"/>
      <c r="L34" s="2" t="n"/>
      <c r="M34" s="2" t="n"/>
      <c r="N34" s="2" t="n"/>
      <c r="O34" s="2" t="n"/>
      <c r="P34" s="6">
        <f>'📋 Budget'!$B$22</f>
        <v/>
      </c>
      <c r="Q34" s="13">
        <f>SUMIFS('💸 Dépenses'!$F$10:$F$309,'💸 Dépenses'!$D$10:$D$309,$P34)+(ROW()-27)/1000000</f>
        <v/>
      </c>
    </row>
    <row r="35">
      <c r="A35" s="2" t="n"/>
      <c r="B35" s="2" t="n"/>
      <c r="C35" s="2" t="n"/>
      <c r="D35" s="2" t="n"/>
      <c r="E35" s="2" t="n"/>
      <c r="F35" s="2" t="n"/>
      <c r="G35" s="2" t="n"/>
      <c r="H35" s="2" t="n"/>
      <c r="I35" s="2" t="n"/>
      <c r="J35" s="2" t="n"/>
      <c r="K35" s="2" t="n"/>
      <c r="L35" s="2" t="n"/>
      <c r="M35" s="2" t="n"/>
      <c r="N35" s="2" t="n"/>
      <c r="O35" s="2" t="n"/>
      <c r="P35" s="6">
        <f>'📋 Budget'!$B$23</f>
        <v/>
      </c>
      <c r="Q35" s="13">
        <f>SUMIFS('💸 Dépenses'!$F$10:$F$309,'💸 Dépenses'!$D$10:$D$309,$P35)+(ROW()-27)/1000000</f>
        <v/>
      </c>
    </row>
    <row r="36">
      <c r="A36" s="2" t="n"/>
      <c r="B36" s="2" t="n"/>
      <c r="C36" s="2" t="n"/>
      <c r="D36" s="2" t="n"/>
      <c r="E36" s="2" t="n"/>
      <c r="F36" s="2" t="n"/>
      <c r="G36" s="2" t="n"/>
      <c r="H36" s="2" t="n"/>
      <c r="I36" s="2" t="n"/>
      <c r="J36" s="2" t="n"/>
      <c r="K36" s="2" t="n"/>
      <c r="L36" s="2" t="n"/>
      <c r="M36" s="2" t="n"/>
      <c r="N36" s="2" t="n"/>
      <c r="O36" s="2" t="n"/>
      <c r="P36" s="6">
        <f>'📋 Budget'!$B$24</f>
        <v/>
      </c>
      <c r="Q36" s="13">
        <f>SUMIFS('💸 Dépenses'!$F$10:$F$309,'💸 Dépenses'!$D$10:$D$309,$P36)+(ROW()-27)/1000000</f>
        <v/>
      </c>
    </row>
    <row r="37">
      <c r="A37" s="2" t="n"/>
      <c r="B37" s="2" t="n"/>
      <c r="C37" s="2" t="n"/>
      <c r="D37" s="2" t="n"/>
      <c r="E37" s="2" t="n"/>
      <c r="F37" s="2" t="n"/>
      <c r="G37" s="2" t="n"/>
      <c r="H37" s="2" t="n"/>
      <c r="I37" s="2" t="n"/>
      <c r="J37" s="2" t="n"/>
      <c r="K37" s="2" t="n"/>
      <c r="L37" s="2" t="n"/>
      <c r="M37" s="2" t="n"/>
      <c r="N37" s="2" t="n"/>
      <c r="O37" s="2" t="n"/>
      <c r="P37" s="6">
        <f>'📋 Budget'!$B$25</f>
        <v/>
      </c>
      <c r="Q37" s="13">
        <f>SUMIFS('💸 Dépenses'!$F$10:$F$309,'💸 Dépenses'!$D$10:$D$309,$P37)+(ROW()-27)/1000000</f>
        <v/>
      </c>
    </row>
    <row r="38" ht="20" customHeight="1">
      <c r="A38" s="2" t="n"/>
      <c r="B38" s="40" t="inlineStr">
        <is>
          <t>PRÉVISIONNEL vs RÉALISÉ — CUMUL ANNUEL</t>
        </is>
      </c>
      <c r="I38" s="19" t="inlineStr">
        <is>
          <t>TOP 5 DES DÉPENSES DE L'ANNÉE</t>
        </is>
      </c>
      <c r="N38" s="2" t="n"/>
      <c r="O38" s="2" t="n"/>
      <c r="P38" s="6">
        <f>'📋 Budget'!$B$26</f>
        <v/>
      </c>
      <c r="Q38" s="13">
        <f>SUMIFS('💸 Dépenses'!$F$10:$F$309,'💸 Dépenses'!$D$10:$D$309,$P38)+(ROW()-27)/1000000</f>
        <v/>
      </c>
    </row>
    <row r="39">
      <c r="A39" s="2" t="n"/>
      <c r="B39" s="41" t="inlineStr"/>
      <c r="C39" s="41" t="inlineStr">
        <is>
          <t>Prévu</t>
        </is>
      </c>
      <c r="D39" s="41" t="inlineStr">
        <is>
          <t>Réalisé</t>
        </is>
      </c>
      <c r="E39" s="41" t="inlineStr">
        <is>
          <t>Écart</t>
        </is>
      </c>
      <c r="F39" s="41" t="inlineStr">
        <is>
          <t>Écart %</t>
        </is>
      </c>
      <c r="G39" s="41" t="inlineStr">
        <is>
          <t>Tendance</t>
        </is>
      </c>
      <c r="H39" s="41" t="inlineStr">
        <is>
          <t>Progression</t>
        </is>
      </c>
      <c r="I39" s="41" t="inlineStr">
        <is>
          <t>Catégorie</t>
        </is>
      </c>
      <c r="J39" s="42" t="n"/>
      <c r="K39" s="41" t="inlineStr">
        <is>
          <t>Montant</t>
        </is>
      </c>
      <c r="L39" s="41" t="inlineStr">
        <is>
          <t>Poids</t>
        </is>
      </c>
      <c r="M39" s="42" t="n"/>
      <c r="N39" s="2" t="n"/>
      <c r="O39" s="2" t="n"/>
      <c r="P39" s="6">
        <f>'📋 Budget'!$B$27</f>
        <v/>
      </c>
      <c r="Q39" s="13">
        <f>SUMIFS('💸 Dépenses'!$F$10:$F$309,'💸 Dépenses'!$D$10:$D$309,$P39)+(ROW()-27)/1000000</f>
        <v/>
      </c>
    </row>
    <row r="40">
      <c r="A40" s="2" t="n"/>
      <c r="B40" s="43" t="inlineStr">
        <is>
          <t>Recettes</t>
        </is>
      </c>
      <c r="C40" s="44">
        <f>'📋 Budget'!$O$12</f>
        <v/>
      </c>
      <c r="D40" s="44">
        <f>'📊 Suivi mensuel'!$D$19</f>
        <v/>
      </c>
      <c r="E40" s="44">
        <f>D40-C40</f>
        <v/>
      </c>
      <c r="F40" s="45">
        <f>IFERROR(E40/C40,0)</f>
        <v/>
      </c>
      <c r="G40" s="46">
        <f>IF(E40&gt;=0,"▲","▼")</f>
        <v/>
      </c>
      <c r="H40" s="47">
        <f>REPT("█",ROUND(MIN(1,MAX(0,IFERROR(D40/C40,0)))*10,0))&amp;REPT("░",10-ROUND(MIN(1,MAX(0,IFERROR(D40/C40,0)))*10,0))</f>
        <v/>
      </c>
      <c r="I40" s="48">
        <f>IFERROR(IF(LARGE($Q$28:$Q$42,1)&lt;0.005,"—",INDEX($P$28:$P$42,MATCH(LARGE($Q$28:$Q$42,1),$Q$28:$Q$42,0))),"—")</f>
        <v/>
      </c>
      <c r="J40" s="42" t="n"/>
      <c r="K40" s="44">
        <f>IFERROR(ROUND(LARGE($Q$28:$Q$42,1),0),0)</f>
        <v/>
      </c>
      <c r="L40" s="47">
        <f>IFERROR(IF(MAX($Q$28:$Q$42)&lt;0.005,"",REPT("█",ROUND(LARGE($Q$28:$Q$42,1)/MAX($Q$28:$Q$42)*10,0))&amp;REPT("░",10-ROUND(LARGE($Q$28:$Q$42,1)/MAX($Q$28:$Q$42)*10,0))),"")</f>
        <v/>
      </c>
      <c r="M40" s="42" t="n"/>
      <c r="N40" s="2" t="n"/>
      <c r="O40" s="2" t="n"/>
      <c r="P40" s="6">
        <f>'📋 Budget'!$B$28</f>
        <v/>
      </c>
      <c r="Q40" s="13">
        <f>SUMIFS('💸 Dépenses'!$F$10:$F$309,'💸 Dépenses'!$D$10:$D$309,$P40)+(ROW()-27)/1000000</f>
        <v/>
      </c>
    </row>
    <row r="41">
      <c r="A41" s="2" t="n"/>
      <c r="B41" s="43" t="inlineStr">
        <is>
          <t>Dépenses</t>
        </is>
      </c>
      <c r="C41" s="44">
        <f>'📋 Budget'!$O$31</f>
        <v/>
      </c>
      <c r="D41" s="44">
        <f>'📊 Suivi mensuel'!$G$19</f>
        <v/>
      </c>
      <c r="E41" s="44">
        <f>C41-D41</f>
        <v/>
      </c>
      <c r="F41" s="45">
        <f>IFERROR(E41/C41,0)</f>
        <v/>
      </c>
      <c r="G41" s="46">
        <f>IF(E41&gt;=0,"▲","▼")</f>
        <v/>
      </c>
      <c r="H41" s="47">
        <f>REPT("█",ROUND(MIN(1,MAX(0,IFERROR(D41/C41,0)))*10,0))&amp;REPT("░",10-ROUND(MIN(1,MAX(0,IFERROR(D41/C41,0)))*10,0))</f>
        <v/>
      </c>
      <c r="I41" s="48">
        <f>IFERROR(IF(LARGE($Q$28:$Q$42,2)&lt;0.005,"—",INDEX($P$28:$P$42,MATCH(LARGE($Q$28:$Q$42,2),$Q$28:$Q$42,0))),"—")</f>
        <v/>
      </c>
      <c r="J41" s="42" t="n"/>
      <c r="K41" s="44">
        <f>IFERROR(ROUND(LARGE($Q$28:$Q$42,2),0),0)</f>
        <v/>
      </c>
      <c r="L41" s="47">
        <f>IFERROR(IF(MAX($Q$28:$Q$42)&lt;0.005,"",REPT("█",ROUND(LARGE($Q$28:$Q$42,2)/MAX($Q$28:$Q$42)*10,0))&amp;REPT("░",10-ROUND(LARGE($Q$28:$Q$42,2)/MAX($Q$28:$Q$42)*10,0))),"")</f>
        <v/>
      </c>
      <c r="M41" s="42" t="n"/>
      <c r="N41" s="2" t="n"/>
      <c r="O41" s="2" t="n"/>
      <c r="P41" s="6">
        <f>'📋 Budget'!$B$29</f>
        <v/>
      </c>
      <c r="Q41" s="13">
        <f>SUMIFS('💸 Dépenses'!$F$10:$F$309,'💸 Dépenses'!$D$10:$D$309,$P41)+(ROW()-27)/1000000</f>
        <v/>
      </c>
    </row>
    <row r="42">
      <c r="A42" s="2" t="n"/>
      <c r="B42" s="43" t="inlineStr">
        <is>
          <t>Résultat</t>
        </is>
      </c>
      <c r="C42" s="44">
        <f>'📋 Budget'!$O$33</f>
        <v/>
      </c>
      <c r="D42" s="44">
        <f>'📊 Suivi mensuel'!$J$19</f>
        <v/>
      </c>
      <c r="E42" s="44">
        <f>D42-C42</f>
        <v/>
      </c>
      <c r="F42" s="45">
        <f>IFERROR(E42/ABS(C42),0)</f>
        <v/>
      </c>
      <c r="G42" s="46">
        <f>IF(E42&gt;=0,"▲","▼")</f>
        <v/>
      </c>
      <c r="H42" s="47">
        <f>REPT("█",ROUND(MIN(1,MAX(0,IFERROR(D42/C42,0)))*10,0))&amp;REPT("░",10-ROUND(MIN(1,MAX(0,IFERROR(D42/C42,0)))*10,0))</f>
        <v/>
      </c>
      <c r="I42" s="48">
        <f>IFERROR(IF(LARGE($Q$28:$Q$42,3)&lt;0.005,"—",INDEX($P$28:$P$42,MATCH(LARGE($Q$28:$Q$42,3),$Q$28:$Q$42,0))),"—")</f>
        <v/>
      </c>
      <c r="J42" s="42" t="n"/>
      <c r="K42" s="44">
        <f>IFERROR(ROUND(LARGE($Q$28:$Q$42,3),0),0)</f>
        <v/>
      </c>
      <c r="L42" s="47">
        <f>IFERROR(IF(MAX($Q$28:$Q$42)&lt;0.005,"",REPT("█",ROUND(LARGE($Q$28:$Q$42,3)/MAX($Q$28:$Q$42)*10,0))&amp;REPT("░",10-ROUND(LARGE($Q$28:$Q$42,3)/MAX($Q$28:$Q$42)*10,0))),"")</f>
        <v/>
      </c>
      <c r="M42" s="42" t="n"/>
      <c r="N42" s="2" t="n"/>
      <c r="O42" s="2" t="n"/>
      <c r="P42" s="6">
        <f>'📋 Budget'!$B$30</f>
        <v/>
      </c>
      <c r="Q42" s="13">
        <f>SUMIFS('💸 Dépenses'!$F$10:$F$309,'💸 Dépenses'!$D$10:$D$309,$P42)+(ROW()-27)/1000000</f>
        <v/>
      </c>
    </row>
    <row r="43">
      <c r="A43" s="2" t="n"/>
      <c r="B43" s="2" t="n"/>
      <c r="C43" s="2" t="n"/>
      <c r="D43" s="2" t="n"/>
      <c r="E43" s="2" t="n"/>
      <c r="F43" s="2" t="n"/>
      <c r="G43" s="2" t="n"/>
      <c r="H43" s="2" t="n"/>
      <c r="I43" s="48">
        <f>IFERROR(IF(LARGE($Q$28:$Q$42,4)&lt;0.005,"—",INDEX($P$28:$P$42,MATCH(LARGE($Q$28:$Q$42,4),$Q$28:$Q$42,0))),"—")</f>
        <v/>
      </c>
      <c r="J43" s="42" t="n"/>
      <c r="K43" s="44">
        <f>IFERROR(ROUND(LARGE($Q$28:$Q$42,4),0),0)</f>
        <v/>
      </c>
      <c r="L43" s="47">
        <f>IFERROR(IF(MAX($Q$28:$Q$42)&lt;0.005,"",REPT("█",ROUND(LARGE($Q$28:$Q$42,4)/MAX($Q$28:$Q$42)*10,0))&amp;REPT("░",10-ROUND(LARGE($Q$28:$Q$42,4)/MAX($Q$28:$Q$42)*10,0))),"")</f>
        <v/>
      </c>
      <c r="M43" s="42" t="n"/>
      <c r="N43" s="2" t="n"/>
      <c r="O43" s="2" t="n"/>
      <c r="P43" s="2" t="n"/>
      <c r="Q43" s="2" t="n"/>
    </row>
    <row r="44">
      <c r="A44" s="2" t="n"/>
      <c r="B44" s="2" t="n"/>
      <c r="C44" s="2" t="n"/>
      <c r="D44" s="2" t="n"/>
      <c r="E44" s="2" t="n"/>
      <c r="F44" s="2" t="n"/>
      <c r="G44" s="2" t="n"/>
      <c r="H44" s="2" t="n"/>
      <c r="I44" s="48">
        <f>IFERROR(IF(LARGE($Q$28:$Q$42,5)&lt;0.005,"—",INDEX($P$28:$P$42,MATCH(LARGE($Q$28:$Q$42,5),$Q$28:$Q$42,0))),"—")</f>
        <v/>
      </c>
      <c r="J44" s="42" t="n"/>
      <c r="K44" s="44">
        <f>IFERROR(ROUND(LARGE($Q$28:$Q$42,5),0),0)</f>
        <v/>
      </c>
      <c r="L44" s="47">
        <f>IFERROR(IF(MAX($Q$28:$Q$42)&lt;0.005,"",REPT("█",ROUND(LARGE($Q$28:$Q$42,5)/MAX($Q$28:$Q$42)*10,0))&amp;REPT("░",10-ROUND(LARGE($Q$28:$Q$42,5)/MAX($Q$28:$Q$42)*10,0))),"")</f>
        <v/>
      </c>
      <c r="M44" s="42" t="n"/>
      <c r="N44" s="2" t="n"/>
      <c r="O44" s="2" t="n"/>
      <c r="P44" s="2" t="n"/>
      <c r="Q44" s="2" t="n"/>
    </row>
    <row r="45">
      <c r="A45" s="2" t="n"/>
      <c r="B45" s="43">
        <f>"🚗 Indemnités kilométriques : "&amp;ROUND('🚗 Indemnités KM'!$I$7,0)&amp;" km · "&amp;ROUND('🚗 Indemnités KM'!$I$8,0)&amp;" € (estimation)"</f>
        <v/>
      </c>
      <c r="C45" s="49" t="n"/>
      <c r="D45" s="49" t="n"/>
      <c r="E45" s="49" t="n"/>
      <c r="F45" s="49" t="n"/>
      <c r="G45" s="42" t="n"/>
      <c r="H45" s="2" t="n"/>
      <c r="I45" s="50" t="inlineStr">
        <is>
          <t>Budget annuel consommé</t>
        </is>
      </c>
      <c r="J45" s="2" t="n"/>
      <c r="K45" s="51">
        <f>IFERROR('📊 Suivi mensuel'!$G$19/'📋 Budget'!$O$31,0)</f>
        <v/>
      </c>
      <c r="L45" s="47">
        <f>REPT("█",ROUND(MIN(1,MAX(0,$K$45))*20,0))&amp;REPT("░",20-ROUND(MIN(1,MAX(0,$K$45))*20,0))</f>
        <v/>
      </c>
      <c r="M45" s="42" t="n"/>
      <c r="N45" s="2" t="n"/>
      <c r="O45" s="2" t="n"/>
      <c r="P45" s="2" t="n"/>
      <c r="Q45" s="2" t="n"/>
    </row>
    <row r="46">
      <c r="A46" s="2" t="n"/>
      <c r="B46" s="2" t="n"/>
      <c r="C46" s="2" t="n"/>
      <c r="D46" s="2" t="n"/>
      <c r="E46" s="2" t="n"/>
      <c r="F46" s="2" t="n"/>
      <c r="G46" s="2" t="n"/>
      <c r="H46" s="2" t="n"/>
      <c r="I46" s="2" t="n"/>
      <c r="J46" s="2" t="n"/>
      <c r="K46" s="2" t="n"/>
      <c r="L46" s="2" t="n"/>
      <c r="M46" s="2" t="n"/>
      <c r="N46" s="2" t="n"/>
      <c r="O46" s="2" t="n"/>
      <c r="P46" s="2" t="n"/>
      <c r="Q46" s="2" t="n"/>
    </row>
    <row r="47">
      <c r="A47" s="2" t="n"/>
      <c r="B47" s="52" t="inlineStr">
        <is>
          <t>Outil de pilotage et d'estimation. Les montants de TVA, IS, CFE et cotisations sont indicatifs et ne remplacent pas l'avis d'un expert-comptable.</t>
        </is>
      </c>
      <c r="N47" s="2" t="n"/>
      <c r="O47" s="2" t="n"/>
      <c r="P47" s="2" t="n"/>
      <c r="Q47" s="2" t="n"/>
    </row>
    <row r="48">
      <c r="A48" s="2" t="n"/>
      <c r="B48" s="2" t="n"/>
      <c r="C48" s="2" t="n"/>
      <c r="D48" s="2" t="n"/>
      <c r="E48" s="2" t="n"/>
      <c r="F48" s="2" t="n"/>
      <c r="G48" s="2" t="n"/>
      <c r="H48" s="2" t="n"/>
      <c r="I48" s="2" t="n"/>
      <c r="J48" s="2" t="n"/>
      <c r="K48" s="2" t="n"/>
      <c r="L48" s="2" t="n"/>
      <c r="M48" s="2" t="n"/>
      <c r="N48" s="2" t="n"/>
      <c r="O48" s="2" t="n"/>
      <c r="P48" s="2" t="n"/>
      <c r="Q48" s="2" t="n"/>
    </row>
    <row r="49">
      <c r="A49" s="2" t="n"/>
      <c r="B49" s="2" t="n"/>
      <c r="C49" s="2" t="n"/>
      <c r="D49" s="2" t="n"/>
      <c r="E49" s="2" t="n"/>
      <c r="F49" s="2" t="n"/>
      <c r="G49" s="2" t="n"/>
      <c r="H49" s="2" t="n"/>
      <c r="I49" s="2" t="n"/>
      <c r="J49" s="2" t="n"/>
      <c r="K49" s="2" t="n"/>
      <c r="L49" s="2" t="n"/>
      <c r="M49" s="2" t="n"/>
      <c r="N49" s="2" t="n"/>
      <c r="O49" s="2" t="n"/>
      <c r="P49" s="2" t="n"/>
      <c r="Q49" s="2" t="n"/>
    </row>
    <row r="50">
      <c r="A50" s="2" t="n"/>
      <c r="B50" s="2" t="n"/>
      <c r="C50" s="2" t="n"/>
      <c r="D50" s="2" t="n"/>
      <c r="E50" s="2" t="n"/>
      <c r="F50" s="2" t="n"/>
      <c r="G50" s="2" t="n"/>
      <c r="H50" s="2" t="n"/>
      <c r="I50" s="2" t="n"/>
      <c r="J50" s="2" t="n"/>
      <c r="K50" s="2" t="n"/>
      <c r="L50" s="2" t="n"/>
      <c r="M50" s="2" t="n"/>
      <c r="N50" s="2" t="n"/>
      <c r="O50" s="2" t="n"/>
      <c r="P50" s="2" t="n"/>
      <c r="Q50" s="2" t="n"/>
    </row>
  </sheetData>
  <mergeCells count="70">
    <mergeCell ref="F4:G4"/>
    <mergeCell ref="B16:C16"/>
    <mergeCell ref="B11:M11"/>
    <mergeCell ref="J5:K5"/>
    <mergeCell ref="D12:G12"/>
    <mergeCell ref="B8:D8"/>
    <mergeCell ref="F6:G6"/>
    <mergeCell ref="E9:G9"/>
    <mergeCell ref="H17:M17"/>
    <mergeCell ref="H4:I4"/>
    <mergeCell ref="B18:C18"/>
    <mergeCell ref="E15:G15"/>
    <mergeCell ref="H16:M16"/>
    <mergeCell ref="A1:N1"/>
    <mergeCell ref="B12:C12"/>
    <mergeCell ref="D6:E6"/>
    <mergeCell ref="K8:M8"/>
    <mergeCell ref="L43:M43"/>
    <mergeCell ref="H6:I6"/>
    <mergeCell ref="J6:K6"/>
    <mergeCell ref="F5:G5"/>
    <mergeCell ref="I41:J41"/>
    <mergeCell ref="L42:M42"/>
    <mergeCell ref="H13:M13"/>
    <mergeCell ref="B9:D9"/>
    <mergeCell ref="B14:C14"/>
    <mergeCell ref="L5:M5"/>
    <mergeCell ref="B17:C17"/>
    <mergeCell ref="L39:M39"/>
    <mergeCell ref="H12:M12"/>
    <mergeCell ref="L45:M45"/>
    <mergeCell ref="E16:G16"/>
    <mergeCell ref="B13:C13"/>
    <mergeCell ref="I43:J43"/>
    <mergeCell ref="J4:K4"/>
    <mergeCell ref="H15:M15"/>
    <mergeCell ref="L4:M4"/>
    <mergeCell ref="B20:M20"/>
    <mergeCell ref="H18:M18"/>
    <mergeCell ref="I42:J42"/>
    <mergeCell ref="A2:N2"/>
    <mergeCell ref="H14:M14"/>
    <mergeCell ref="B45:G45"/>
    <mergeCell ref="H8:J8"/>
    <mergeCell ref="E18:G18"/>
    <mergeCell ref="D4:E4"/>
    <mergeCell ref="L41:M41"/>
    <mergeCell ref="D13:G13"/>
    <mergeCell ref="K3:M3"/>
    <mergeCell ref="I39:J39"/>
    <mergeCell ref="L44:M44"/>
    <mergeCell ref="L40:M40"/>
    <mergeCell ref="I44:J44"/>
    <mergeCell ref="B47:M47"/>
    <mergeCell ref="B6:C6"/>
    <mergeCell ref="P3:Q3"/>
    <mergeCell ref="B15:C15"/>
    <mergeCell ref="E14:G14"/>
    <mergeCell ref="L6:M6"/>
    <mergeCell ref="K9:M9"/>
    <mergeCell ref="B5:C5"/>
    <mergeCell ref="I38:M38"/>
    <mergeCell ref="D5:E5"/>
    <mergeCell ref="E8:G8"/>
    <mergeCell ref="E17:G17"/>
    <mergeCell ref="H5:I5"/>
    <mergeCell ref="B38:H38"/>
    <mergeCell ref="H9:J9"/>
    <mergeCell ref="I40:J40"/>
    <mergeCell ref="B4:C4"/>
  </mergeCells>
  <conditionalFormatting sqref="F5">
    <cfRule type="cellIs" priority="1" operator="lessThan" dxfId="0">
      <formula>0</formula>
    </cfRule>
  </conditionalFormatting>
  <conditionalFormatting sqref="H5">
    <cfRule type="cellIs" priority="2" operator="lessThan" dxfId="0">
      <formula>0</formula>
    </cfRule>
  </conditionalFormatting>
  <conditionalFormatting sqref="E40:E42">
    <cfRule type="expression" priority="3" dxfId="1">
      <formula>$E40&gt;=0</formula>
    </cfRule>
    <cfRule type="expression" priority="4" dxfId="2">
      <formula>$E40&lt;0</formula>
    </cfRule>
  </conditionalFormatting>
  <conditionalFormatting sqref="G40:G42">
    <cfRule type="expression" priority="5" dxfId="1">
      <formula>$E40&gt;=0</formula>
    </cfRule>
    <cfRule type="expression" priority="6" dxfId="2">
      <formula>$E40&lt;0</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8B7D6B"/>
    <outlinePr summaryBelow="1" summaryRight="1"/>
    <pageSetUpPr/>
  </sheetPr>
  <dimension ref="A1:K36"/>
  <sheetViews>
    <sheetView showGridLines="0" workbookViewId="0">
      <selection activeCell="A1" sqref="A1"/>
    </sheetView>
  </sheetViews>
  <sheetFormatPr baseColWidth="8" defaultRowHeight="15"/>
  <cols>
    <col width="2.5" customWidth="1" min="1" max="1"/>
    <col width="6" customWidth="1" min="2" max="2"/>
    <col width="13" customWidth="1" min="3" max="3"/>
    <col width="13" customWidth="1" min="4" max="4"/>
    <col width="13" customWidth="1" min="5" max="5"/>
    <col width="13" customWidth="1" min="6" max="6"/>
    <col width="13" customWidth="1" min="7" max="7"/>
    <col width="13" customWidth="1" min="8" max="8"/>
    <col width="13" customWidth="1" min="9" max="9"/>
    <col width="3" customWidth="1" min="10" max="10"/>
  </cols>
  <sheetData>
    <row r="1" ht="30" customHeight="1">
      <c r="A1" s="1" t="inlineStr">
        <is>
          <t>🚀 DÉMARRER ICI</t>
        </is>
      </c>
      <c r="K1" s="2" t="n"/>
    </row>
    <row r="2" ht="16" customHeight="1">
      <c r="A2" s="3" t="inlineStr">
        <is>
          <t>Bienvenue dans votre assistant de pilotage. En 15 minutes, votre entreprise est configurée.</t>
        </is>
      </c>
      <c r="K2" s="2" t="n"/>
    </row>
    <row r="3" ht="26" customHeight="1">
      <c r="A3" s="2" t="n"/>
      <c r="B3" s="53" t="inlineStr">
        <is>
          <t>💡 Suivez les 5 étapes dans l'ordre, cochez-les au fur et à mesure (menu déroulant à droite), puis revenez ici chaque fin de mois pour votre routine de 10 minutes.</t>
        </is>
      </c>
      <c r="K3" s="2" t="n"/>
    </row>
    <row r="4" ht="26" customHeight="1">
      <c r="A4" s="2" t="n"/>
      <c r="B4" s="54">
        <f>"Configuration : "&amp;COUNTIF($I$7:$I$19,"✅")&amp;"/5 étapes ✅"</f>
        <v/>
      </c>
      <c r="C4" s="55" t="n"/>
      <c r="D4" s="55" t="n"/>
      <c r="E4" s="55" t="n"/>
      <c r="F4" s="55" t="n"/>
      <c r="G4" s="55" t="n"/>
      <c r="H4" s="55" t="n"/>
      <c r="I4" s="56" t="n"/>
      <c r="J4" s="2" t="n"/>
      <c r="K4" s="2" t="n"/>
    </row>
    <row r="5">
      <c r="A5" s="2" t="n"/>
      <c r="B5" s="2" t="n"/>
      <c r="C5" s="2" t="n"/>
      <c r="D5" s="2" t="n"/>
      <c r="E5" s="2" t="n"/>
      <c r="F5" s="2" t="n"/>
      <c r="G5" s="2" t="n"/>
      <c r="H5" s="2" t="n"/>
      <c r="I5" s="2" t="n"/>
      <c r="J5" s="2" t="n"/>
      <c r="K5" s="2" t="n"/>
    </row>
    <row r="6">
      <c r="A6" s="2" t="n"/>
      <c r="B6" s="2" t="n"/>
      <c r="C6" s="2" t="n"/>
      <c r="D6" s="2" t="n"/>
      <c r="E6" s="2" t="n"/>
      <c r="F6" s="2" t="n"/>
      <c r="G6" s="2" t="n"/>
      <c r="H6" s="2" t="n"/>
      <c r="I6" s="2" t="n"/>
      <c r="J6" s="2" t="n"/>
      <c r="K6" s="2" t="n"/>
    </row>
    <row r="7" ht="22" customHeight="1">
      <c r="A7" s="2" t="n"/>
      <c r="B7" s="57" t="inlineStr">
        <is>
          <t>1</t>
        </is>
      </c>
      <c r="C7" s="58" t="inlineStr">
        <is>
          <t>Configurez votre entreprise</t>
        </is>
      </c>
      <c r="D7" s="16" t="n"/>
      <c r="E7" s="16" t="n"/>
      <c r="F7" s="16" t="n"/>
      <c r="G7" s="16" t="n"/>
      <c r="H7" s="16" t="n"/>
      <c r="I7" s="59" t="inlineStr">
        <is>
          <t>☐</t>
        </is>
      </c>
      <c r="J7" s="2" t="n"/>
      <c r="K7" s="2" t="n"/>
    </row>
    <row r="8" ht="30" customHeight="1">
      <c r="A8" s="2" t="n"/>
      <c r="B8" s="60" t="inlineStr"/>
      <c r="C8" s="61" t="inlineStr">
        <is>
          <t>Ouvrez l'onglet ⚙️ Paramètres et renseignez les 8 informations : nom, forme juridique, année, solde de départ, régime de TVA, statut du dirigeant, salaire net mensuel et CFE estimée. C'est le moteur de tout le fichier.</t>
        </is>
      </c>
      <c r="D8" s="18" t="n"/>
      <c r="E8" s="18" t="n"/>
      <c r="F8" s="18" t="n"/>
      <c r="G8" s="18" t="n"/>
      <c r="H8" s="18" t="n"/>
      <c r="I8" s="15" t="n"/>
      <c r="J8" s="2" t="n"/>
      <c r="K8" s="2" t="n"/>
    </row>
    <row r="9">
      <c r="A9" s="2" t="n"/>
      <c r="B9" s="2" t="n"/>
      <c r="C9" s="2" t="n"/>
      <c r="D9" s="2" t="n"/>
      <c r="E9" s="2" t="n"/>
      <c r="F9" s="2" t="n"/>
      <c r="G9" s="2" t="n"/>
      <c r="H9" s="2" t="n"/>
      <c r="I9" s="2" t="n"/>
      <c r="J9" s="2" t="n"/>
      <c r="K9" s="2" t="n"/>
    </row>
    <row r="10" ht="22" customHeight="1">
      <c r="A10" s="2" t="n"/>
      <c r="B10" s="57" t="inlineStr">
        <is>
          <t>2</t>
        </is>
      </c>
      <c r="C10" s="58" t="inlineStr">
        <is>
          <t>Posez votre budget</t>
        </is>
      </c>
      <c r="D10" s="16" t="n"/>
      <c r="E10" s="16" t="n"/>
      <c r="F10" s="16" t="n"/>
      <c r="G10" s="16" t="n"/>
      <c r="H10" s="16" t="n"/>
      <c r="I10" s="59" t="inlineStr">
        <is>
          <t>☐</t>
        </is>
      </c>
      <c r="J10" s="2" t="n"/>
      <c r="K10" s="2" t="n"/>
    </row>
    <row r="11" ht="30" customHeight="1">
      <c r="A11" s="2" t="n"/>
      <c r="B11" s="60" t="inlineStr"/>
      <c r="C11" s="61" t="inlineStr">
        <is>
          <t>Remplissez le 📋 Budget prévisionnel, mois par mois. Astuce : pas d'idée précise ? Commencez large, vous ajusterez en cours d'année.</t>
        </is>
      </c>
      <c r="D11" s="18" t="n"/>
      <c r="E11" s="18" t="n"/>
      <c r="F11" s="18" t="n"/>
      <c r="G11" s="18" t="n"/>
      <c r="H11" s="18" t="n"/>
      <c r="I11" s="15" t="n"/>
      <c r="J11" s="2" t="n"/>
      <c r="K11" s="2" t="n"/>
    </row>
    <row r="12">
      <c r="A12" s="2" t="n"/>
      <c r="B12" s="2" t="n"/>
      <c r="C12" s="2" t="n"/>
      <c r="D12" s="2" t="n"/>
      <c r="E12" s="2" t="n"/>
      <c r="F12" s="2" t="n"/>
      <c r="G12" s="2" t="n"/>
      <c r="H12" s="2" t="n"/>
      <c r="I12" s="2" t="n"/>
      <c r="J12" s="2" t="n"/>
      <c r="K12" s="2" t="n"/>
    </row>
    <row r="13" ht="22" customHeight="1">
      <c r="A13" s="2" t="n"/>
      <c r="B13" s="57" t="inlineStr">
        <is>
          <t>3</t>
        </is>
      </c>
      <c r="C13" s="58" t="inlineStr">
        <is>
          <t>Saisissez au fil de l'eau</t>
        </is>
      </c>
      <c r="D13" s="16" t="n"/>
      <c r="E13" s="16" t="n"/>
      <c r="F13" s="16" t="n"/>
      <c r="G13" s="16" t="n"/>
      <c r="H13" s="16" t="n"/>
      <c r="I13" s="59" t="inlineStr">
        <is>
          <t>☐</t>
        </is>
      </c>
      <c r="J13" s="2" t="n"/>
      <c r="K13" s="2" t="n"/>
    </row>
    <row r="14" ht="30" customHeight="1">
      <c r="A14" s="2" t="n"/>
      <c r="B14" s="60" t="inlineStr"/>
      <c r="C14" s="61" t="inlineStr">
        <is>
          <t>Chaque facture dans 💰 Recettes, chaque achat dans 💸 Dépenses. Règle d'or : 5 minutes par semaine suffisent pour rester à jour.</t>
        </is>
      </c>
      <c r="D14" s="18" t="n"/>
      <c r="E14" s="18" t="n"/>
      <c r="F14" s="18" t="n"/>
      <c r="G14" s="18" t="n"/>
      <c r="H14" s="18" t="n"/>
      <c r="I14" s="15" t="n"/>
      <c r="J14" s="2" t="n"/>
      <c r="K14" s="2" t="n"/>
    </row>
    <row r="15">
      <c r="A15" s="2" t="n"/>
      <c r="B15" s="2" t="n"/>
      <c r="C15" s="2" t="n"/>
      <c r="D15" s="2" t="n"/>
      <c r="E15" s="2" t="n"/>
      <c r="F15" s="2" t="n"/>
      <c r="G15" s="2" t="n"/>
      <c r="H15" s="2" t="n"/>
      <c r="I15" s="2" t="n"/>
      <c r="J15" s="2" t="n"/>
      <c r="K15" s="2" t="n"/>
    </row>
    <row r="16" ht="22" customHeight="1">
      <c r="A16" s="2" t="n"/>
      <c r="B16" s="57" t="inlineStr">
        <is>
          <t>4</t>
        </is>
      </c>
      <c r="C16" s="58" t="inlineStr">
        <is>
          <t>Suivez vos trajets</t>
        </is>
      </c>
      <c r="D16" s="16" t="n"/>
      <c r="E16" s="16" t="n"/>
      <c r="F16" s="16" t="n"/>
      <c r="G16" s="16" t="n"/>
      <c r="H16" s="16" t="n"/>
      <c r="I16" s="59" t="inlineStr">
        <is>
          <t>☐</t>
        </is>
      </c>
      <c r="J16" s="2" t="n"/>
      <c r="K16" s="2" t="n"/>
    </row>
    <row r="17" ht="30" customHeight="1">
      <c r="A17" s="2" t="n"/>
      <c r="B17" s="60" t="inlineStr"/>
      <c r="C17" s="61" t="inlineStr">
        <is>
          <t>À chaque déplacement professionnel, notez la date, le motif et les kilomètres dans 🚗 Indemnités KM. Ce sont des remboursements que beaucoup oublient.</t>
        </is>
      </c>
      <c r="D17" s="18" t="n"/>
      <c r="E17" s="18" t="n"/>
      <c r="F17" s="18" t="n"/>
      <c r="G17" s="18" t="n"/>
      <c r="H17" s="18" t="n"/>
      <c r="I17" s="15" t="n"/>
      <c r="J17" s="2" t="n"/>
      <c r="K17" s="2" t="n"/>
    </row>
    <row r="18">
      <c r="A18" s="2" t="n"/>
      <c r="B18" s="2" t="n"/>
      <c r="C18" s="2" t="n"/>
      <c r="D18" s="2" t="n"/>
      <c r="E18" s="2" t="n"/>
      <c r="F18" s="2" t="n"/>
      <c r="G18" s="2" t="n"/>
      <c r="H18" s="2" t="n"/>
      <c r="I18" s="2" t="n"/>
      <c r="J18" s="2" t="n"/>
      <c r="K18" s="2" t="n"/>
    </row>
    <row r="19" ht="22" customHeight="1">
      <c r="A19" s="2" t="n"/>
      <c r="B19" s="57" t="inlineStr">
        <is>
          <t>5</t>
        </is>
      </c>
      <c r="C19" s="58" t="inlineStr">
        <is>
          <t>Pilotez</t>
        </is>
      </c>
      <c r="D19" s="16" t="n"/>
      <c r="E19" s="16" t="n"/>
      <c r="F19" s="16" t="n"/>
      <c r="G19" s="16" t="n"/>
      <c r="H19" s="16" t="n"/>
      <c r="I19" s="59" t="inlineStr">
        <is>
          <t>☐</t>
        </is>
      </c>
      <c r="J19" s="2" t="n"/>
      <c r="K19" s="2" t="n"/>
    </row>
    <row r="20" ht="30" customHeight="1">
      <c r="A20" s="2" t="n"/>
      <c r="B20" s="60" t="inlineStr"/>
      <c r="C20" s="61" t="inlineStr">
        <is>
          <t>Ouvrez le 🏠 Dashboard : score de santé, alertes, recommandations et 📅 Échéancier font le reste. Vous savez toujours où vous en êtes.</t>
        </is>
      </c>
      <c r="D20" s="18" t="n"/>
      <c r="E20" s="18" t="n"/>
      <c r="F20" s="18" t="n"/>
      <c r="G20" s="18" t="n"/>
      <c r="H20" s="18" t="n"/>
      <c r="I20" s="15" t="n"/>
      <c r="J20" s="2" t="n"/>
      <c r="K20" s="2" t="n"/>
    </row>
    <row r="21">
      <c r="A21" s="2" t="n"/>
      <c r="B21" s="2" t="n"/>
      <c r="C21" s="2" t="n"/>
      <c r="D21" s="2" t="n"/>
      <c r="E21" s="2" t="n"/>
      <c r="F21" s="2" t="n"/>
      <c r="G21" s="2" t="n"/>
      <c r="H21" s="2" t="n"/>
      <c r="I21" s="2" t="n"/>
      <c r="J21" s="2" t="n"/>
      <c r="K21" s="2" t="n"/>
    </row>
    <row r="22" ht="20" customHeight="1">
      <c r="A22" s="2" t="n"/>
      <c r="B22" s="25" t="inlineStr">
        <is>
          <t>⏱️ VOTRE ROUTINE MENSUELLE EN 10 MINUTES</t>
        </is>
      </c>
      <c r="C22" s="22" t="n"/>
      <c r="D22" s="22" t="n"/>
      <c r="E22" s="22" t="n"/>
      <c r="F22" s="22" t="n"/>
      <c r="G22" s="22" t="n"/>
      <c r="H22" s="22" t="n"/>
      <c r="I22" s="24" t="n"/>
      <c r="J22" s="2" t="n"/>
      <c r="K22" s="2" t="n"/>
    </row>
    <row r="23" ht="18" customHeight="1">
      <c r="A23" s="2" t="n"/>
      <c r="B23" s="62" t="inlineStr">
        <is>
          <t>◻  Toutes les factures et toutes les dépenses du mois sont saisies.</t>
        </is>
      </c>
      <c r="C23" s="49" t="n"/>
      <c r="D23" s="49" t="n"/>
      <c r="E23" s="49" t="n"/>
      <c r="F23" s="49" t="n"/>
      <c r="G23" s="49" t="n"/>
      <c r="H23" s="49" t="n"/>
      <c r="I23" s="63" t="n"/>
      <c r="J23" s="2" t="n"/>
      <c r="K23" s="2" t="n"/>
    </row>
    <row r="24" ht="18" customHeight="1">
      <c r="A24" s="2" t="n"/>
      <c r="B24" s="62" t="inlineStr">
        <is>
          <t>◻  Les encaissements sont pointés (colonne « Encaissé » des 💰 Recettes).</t>
        </is>
      </c>
      <c r="C24" s="49" t="n"/>
      <c r="D24" s="49" t="n"/>
      <c r="E24" s="49" t="n"/>
      <c r="F24" s="49" t="n"/>
      <c r="G24" s="49" t="n"/>
      <c r="H24" s="49" t="n"/>
      <c r="I24" s="63" t="n"/>
      <c r="J24" s="2" t="n"/>
      <c r="K24" s="2" t="n"/>
    </row>
    <row r="25" ht="18" customHeight="1">
      <c r="A25" s="2" t="n"/>
      <c r="B25" s="62" t="inlineStr">
        <is>
          <t>◻  La TVA du mois est vérifiée dans 🧾 TVA &amp; Impôts.</t>
        </is>
      </c>
      <c r="C25" s="49" t="n"/>
      <c r="D25" s="49" t="n"/>
      <c r="E25" s="49" t="n"/>
      <c r="F25" s="49" t="n"/>
      <c r="G25" s="49" t="n"/>
      <c r="H25" s="49" t="n"/>
      <c r="I25" s="63" t="n"/>
      <c r="J25" s="2" t="n"/>
      <c r="K25" s="2" t="n"/>
    </row>
    <row r="26" ht="18" customHeight="1">
      <c r="A26" s="2" t="n"/>
      <c r="B26" s="62" t="inlineStr">
        <is>
          <t>◻  Les provisions (URSSAF, IS, CFE) sont disponibles sur le compte.</t>
        </is>
      </c>
      <c r="C26" s="49" t="n"/>
      <c r="D26" s="49" t="n"/>
      <c r="E26" s="49" t="n"/>
      <c r="F26" s="49" t="n"/>
      <c r="G26" s="49" t="n"/>
      <c r="H26" s="49" t="n"/>
      <c r="I26" s="63" t="n"/>
      <c r="J26" s="2" t="n"/>
      <c r="K26" s="2" t="n"/>
    </row>
    <row r="27" ht="18" customHeight="1">
      <c r="A27" s="2" t="n"/>
      <c r="B27" s="62" t="inlineStr">
        <is>
          <t>◻  Les écarts du 📊 Suivi mensuel sont analysés (favorable ou non ?).</t>
        </is>
      </c>
      <c r="C27" s="49" t="n"/>
      <c r="D27" s="49" t="n"/>
      <c r="E27" s="49" t="n"/>
      <c r="F27" s="49" t="n"/>
      <c r="G27" s="49" t="n"/>
      <c r="H27" s="49" t="n"/>
      <c r="I27" s="63" t="n"/>
      <c r="J27" s="2" t="n"/>
      <c r="K27" s="2" t="n"/>
    </row>
    <row r="28" ht="18" customHeight="1">
      <c r="A28" s="2" t="n"/>
      <c r="B28" s="64" t="inlineStr">
        <is>
          <t>◻  La trésorerie du mois prochain est vérifiée dans 🏦 Trésorerie.</t>
        </is>
      </c>
      <c r="C28" s="65" t="n"/>
      <c r="D28" s="65" t="n"/>
      <c r="E28" s="65" t="n"/>
      <c r="F28" s="65" t="n"/>
      <c r="G28" s="65" t="n"/>
      <c r="H28" s="65" t="n"/>
      <c r="I28" s="66" t="n"/>
      <c r="J28" s="2" t="n"/>
      <c r="K28" s="2" t="n"/>
    </row>
    <row r="29">
      <c r="A29" s="2" t="n"/>
      <c r="B29" s="2" t="n"/>
      <c r="C29" s="2" t="n"/>
      <c r="D29" s="2" t="n"/>
      <c r="E29" s="2" t="n"/>
      <c r="F29" s="2" t="n"/>
      <c r="G29" s="2" t="n"/>
      <c r="H29" s="2" t="n"/>
      <c r="I29" s="2" t="n"/>
      <c r="J29" s="2" t="n"/>
      <c r="K29" s="2" t="n"/>
    </row>
    <row r="30">
      <c r="A30" s="2" t="n"/>
      <c r="B30" s="67" t="inlineStr">
        <is>
          <t>❓ Une question ? L'onglet 📖 Lexique vous explique tous les termes (TVA, IS, runway, provision…) en langage simple, avec des exemples concrets.</t>
        </is>
      </c>
      <c r="C30" s="16" t="n"/>
      <c r="D30" s="16" t="n"/>
      <c r="E30" s="16" t="n"/>
      <c r="F30" s="16" t="n"/>
      <c r="G30" s="16" t="n"/>
      <c r="H30" s="16" t="n"/>
      <c r="I30" s="8" t="n"/>
      <c r="J30" s="2" t="n"/>
      <c r="K30" s="2" t="n"/>
    </row>
    <row r="31">
      <c r="A31" s="2" t="n"/>
      <c r="B31" s="68" t="n"/>
      <c r="C31" s="18" t="n"/>
      <c r="D31" s="18" t="n"/>
      <c r="E31" s="18" t="n"/>
      <c r="F31" s="18" t="n"/>
      <c r="G31" s="18" t="n"/>
      <c r="H31" s="18" t="n"/>
      <c r="I31" s="15"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sheetData>
  <mergeCells count="27">
    <mergeCell ref="C10:H10"/>
    <mergeCell ref="C16:H16"/>
    <mergeCell ref="C17:I17"/>
    <mergeCell ref="B25:I25"/>
    <mergeCell ref="C8:I8"/>
    <mergeCell ref="B20"/>
    <mergeCell ref="B22:I22"/>
    <mergeCell ref="B27:I27"/>
    <mergeCell ref="B23:I23"/>
    <mergeCell ref="B30:I31"/>
    <mergeCell ref="C7:H7"/>
    <mergeCell ref="C14:I14"/>
    <mergeCell ref="A1:J1"/>
    <mergeCell ref="C19:H19"/>
    <mergeCell ref="C13:H13"/>
    <mergeCell ref="B11"/>
    <mergeCell ref="C20:I20"/>
    <mergeCell ref="B28:I28"/>
    <mergeCell ref="B14"/>
    <mergeCell ref="B8"/>
    <mergeCell ref="B3:J3"/>
    <mergeCell ref="B17"/>
    <mergeCell ref="B24:I24"/>
    <mergeCell ref="A2:J2"/>
    <mergeCell ref="C11:I11"/>
    <mergeCell ref="B4:I4"/>
    <mergeCell ref="B26:I26"/>
  </mergeCells>
  <dataValidations count="1">
    <dataValidation sqref="I7 I10 I13 I16 I19"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tabColor rgb="008B7D6B"/>
    <outlinePr summaryBelow="1" summaryRight="1"/>
    <pageSetUpPr/>
  </sheetPr>
  <dimension ref="A1:L40"/>
  <sheetViews>
    <sheetView showGridLines="0" workbookViewId="0">
      <selection activeCell="A1" sqref="A1"/>
    </sheetView>
  </sheetViews>
  <sheetFormatPr baseColWidth="8" defaultRowHeight="15"/>
  <cols>
    <col width="2.5" customWidth="1" min="1" max="1"/>
    <col width="34" customWidth="1" min="2" max="2"/>
    <col width="22" customWidth="1" min="3" max="3"/>
    <col width="3" customWidth="1" min="4" max="4"/>
    <col width="26" customWidth="1" min="5" max="5"/>
    <col width="17" customWidth="1" min="6" max="6"/>
    <col width="19" customWidth="1" min="7" max="7"/>
    <col width="21" customWidth="1" min="8" max="8"/>
    <col width="15" customWidth="1" min="9" max="9"/>
    <col width="3" customWidth="1" min="10" max="10"/>
  </cols>
  <sheetData>
    <row r="1" ht="30" customHeight="1">
      <c r="A1" s="1" t="inlineStr">
        <is>
          <t>⚙️ PARAMÈTRES</t>
        </is>
      </c>
      <c r="K1" s="2" t="n"/>
      <c r="L1" s="2" t="n"/>
    </row>
    <row r="2" ht="16" customHeight="1">
      <c r="A2" s="3" t="inlineStr">
        <is>
          <t>En clair : la fiche d'identité de votre gestion — remplie une fois, utilisée par tous les onglets.</t>
        </is>
      </c>
      <c r="K2" s="2" t="n"/>
      <c r="L2" s="2" t="n"/>
    </row>
    <row r="3" ht="26" customHeight="1">
      <c r="A3" s="2" t="n"/>
      <c r="B3" s="53" t="inlineStr">
        <is>
          <t>💡 Remplissez uniquement les cellules crème. Elles alimentent automatiquement tous les autres onglets : ne modifiez ni l'ordre des listes ni le barème sans raison.</t>
        </is>
      </c>
      <c r="K3" s="2" t="n"/>
      <c r="L3" s="2" t="n"/>
    </row>
    <row r="4">
      <c r="A4" s="2" t="n"/>
      <c r="B4" s="2" t="n"/>
      <c r="C4" s="2" t="n"/>
      <c r="D4" s="2" t="n"/>
      <c r="E4" s="2" t="n"/>
      <c r="F4" s="2" t="n"/>
      <c r="G4" s="2" t="n"/>
      <c r="H4" s="2" t="n"/>
      <c r="I4" s="2" t="n"/>
      <c r="J4" s="2" t="n"/>
      <c r="K4" s="2" t="n"/>
      <c r="L4" s="2" t="n"/>
    </row>
    <row r="5" ht="20" customHeight="1">
      <c r="A5" s="2" t="n"/>
      <c r="B5" s="40" t="inlineStr">
        <is>
          <t>Identité de l'entreprise</t>
        </is>
      </c>
      <c r="D5" s="2" t="n"/>
      <c r="E5" s="40" t="inlineStr">
        <is>
          <t>Impôt sur les sociétés (taux modifiables)</t>
        </is>
      </c>
      <c r="G5" s="2" t="n"/>
      <c r="H5" s="2" t="n"/>
      <c r="I5" s="2" t="n"/>
      <c r="J5" s="2" t="n"/>
      <c r="K5" s="2" t="n"/>
      <c r="L5" s="2" t="n"/>
    </row>
    <row r="6">
      <c r="A6" s="2" t="n"/>
      <c r="B6" s="50" t="inlineStr">
        <is>
          <t>Nom de l'entreprise</t>
        </is>
      </c>
      <c r="C6" s="69" t="inlineStr">
        <is>
          <t>Astuce Conseil</t>
        </is>
      </c>
      <c r="D6" s="2" t="n"/>
      <c r="E6" s="50" t="inlineStr">
        <is>
          <t>Seuil du taux réduit</t>
        </is>
      </c>
      <c r="F6" s="70" t="n">
        <v>42500</v>
      </c>
      <c r="G6" s="2" t="n"/>
      <c r="H6" s="2" t="n"/>
      <c r="I6" s="2" t="n"/>
      <c r="J6" s="2" t="n"/>
      <c r="K6" s="2" t="n"/>
      <c r="L6" s="2" t="n"/>
    </row>
    <row r="7">
      <c r="A7" s="2" t="n"/>
      <c r="B7" s="50" t="inlineStr">
        <is>
          <t>Forme juridique</t>
        </is>
      </c>
      <c r="C7" s="69" t="inlineStr">
        <is>
          <t>SASU</t>
        </is>
      </c>
      <c r="D7" s="2" t="n"/>
      <c r="E7" s="50" t="inlineStr">
        <is>
          <t>Taux réduit (PME)</t>
        </is>
      </c>
      <c r="F7" s="71" t="n">
        <v>0.15</v>
      </c>
      <c r="G7" s="2" t="n"/>
      <c r="H7" s="2" t="n"/>
      <c r="I7" s="2" t="n"/>
      <c r="J7" s="2" t="n"/>
      <c r="K7" s="2" t="n"/>
      <c r="L7" s="2" t="n"/>
    </row>
    <row r="8">
      <c r="A8" s="2" t="n"/>
      <c r="B8" s="50" t="inlineStr">
        <is>
          <t>Année de gestion</t>
        </is>
      </c>
      <c r="C8" s="72" t="n">
        <v>2026</v>
      </c>
      <c r="D8" s="2" t="n"/>
      <c r="E8" s="50" t="inlineStr">
        <is>
          <t>Taux normal</t>
        </is>
      </c>
      <c r="F8" s="71" t="n">
        <v>0.25</v>
      </c>
      <c r="G8" s="2" t="n"/>
      <c r="H8" s="2" t="n"/>
      <c r="I8" s="2" t="n"/>
      <c r="J8" s="2" t="n"/>
      <c r="K8" s="2" t="n"/>
      <c r="L8" s="2" t="n"/>
    </row>
    <row r="9" ht="34" customHeight="1">
      <c r="A9" s="2" t="n"/>
      <c r="B9" s="50" t="inlineStr">
        <is>
          <t>Solde de trésorerie au 01/01</t>
        </is>
      </c>
      <c r="C9" s="73" t="n">
        <v>12500</v>
      </c>
      <c r="D9" s="2" t="n"/>
      <c r="E9" s="74" t="inlineStr">
        <is>
          <t>Taux réduit sous conditions PME (CA &lt; 10 M€, capital détenu à 75 % par des personnes physiques) — valeurs indicatives.</t>
        </is>
      </c>
      <c r="G9" s="2" t="n"/>
      <c r="H9" s="2" t="n"/>
      <c r="I9" s="2" t="n"/>
      <c r="J9" s="2" t="n"/>
      <c r="K9" s="2" t="n"/>
      <c r="L9" s="2" t="n"/>
    </row>
    <row r="10">
      <c r="A10" s="2" t="n"/>
      <c r="B10" s="2" t="n"/>
      <c r="C10" s="2" t="n"/>
      <c r="D10" s="2" t="n"/>
      <c r="E10" s="2" t="n"/>
      <c r="F10" s="2" t="n"/>
      <c r="G10" s="2" t="n"/>
      <c r="H10" s="2" t="n"/>
      <c r="I10" s="2" t="n"/>
      <c r="J10" s="2" t="n"/>
      <c r="K10" s="2" t="n"/>
      <c r="L10" s="2" t="n"/>
    </row>
    <row r="11" ht="20" customHeight="1">
      <c r="A11" s="2" t="n"/>
      <c r="B11" s="40" t="inlineStr">
        <is>
          <t>TVA &amp; fiscalité</t>
        </is>
      </c>
      <c r="D11" s="2" t="n"/>
      <c r="E11" s="40" t="inlineStr">
        <is>
          <t>Barème kilométrique — voitures (modifiable)</t>
        </is>
      </c>
      <c r="J11" s="2" t="n"/>
      <c r="K11" s="2" t="n"/>
      <c r="L11" s="2" t="n"/>
    </row>
    <row r="12" ht="30" customHeight="1">
      <c r="A12" s="2" t="n"/>
      <c r="B12" s="50" t="inlineStr">
        <is>
          <t>Régime de TVA</t>
        </is>
      </c>
      <c r="C12" s="69" t="inlineStr">
        <is>
          <t>Réel normal</t>
        </is>
      </c>
      <c r="D12" s="2" t="n"/>
      <c r="E12" s="41" t="inlineStr">
        <is>
          <t>Puissance fiscale</t>
        </is>
      </c>
      <c r="F12" s="41" t="inlineStr">
        <is>
          <t>≤ 5 000 km (×)</t>
        </is>
      </c>
      <c r="G12" s="41" t="inlineStr">
        <is>
          <t>5 001 à 20 000 km (×)</t>
        </is>
      </c>
      <c r="H12" s="41" t="inlineStr">
        <is>
          <t>5 001 à 20 000 km (+)</t>
        </is>
      </c>
      <c r="I12" s="41" t="inlineStr">
        <is>
          <t>&gt; 20 000 km (×)</t>
        </is>
      </c>
      <c r="J12" s="2" t="n"/>
      <c r="K12" s="2" t="n"/>
      <c r="L12" s="2" t="n"/>
    </row>
    <row r="13">
      <c r="A13" s="2" t="n"/>
      <c r="B13" s="50" t="inlineStr">
        <is>
          <t>Taux de TVA par défaut</t>
        </is>
      </c>
      <c r="C13" s="71" t="n">
        <v>0.2</v>
      </c>
      <c r="D13" s="2" t="n"/>
      <c r="E13" s="43" t="inlineStr">
        <is>
          <t>3 CV et moins</t>
        </is>
      </c>
      <c r="F13" s="75" t="n">
        <v>0.529</v>
      </c>
      <c r="G13" s="75" t="n">
        <v>0.316</v>
      </c>
      <c r="H13" s="70" t="n">
        <v>1065</v>
      </c>
      <c r="I13" s="75" t="n">
        <v>0.37</v>
      </c>
      <c r="J13" s="2" t="n"/>
      <c r="K13" s="2" t="n"/>
      <c r="L13" s="2" t="n"/>
    </row>
    <row r="14">
      <c r="A14" s="2" t="n"/>
      <c r="B14" s="50" t="inlineStr">
        <is>
          <t>CFE estimée (annuelle)</t>
        </is>
      </c>
      <c r="C14" s="73" t="n">
        <v>650</v>
      </c>
      <c r="D14" s="2" t="n"/>
      <c r="E14" s="43" t="inlineStr">
        <is>
          <t>4 CV</t>
        </is>
      </c>
      <c r="F14" s="75" t="n">
        <v>0.606</v>
      </c>
      <c r="G14" s="75" t="n">
        <v>0.34</v>
      </c>
      <c r="H14" s="70" t="n">
        <v>1330</v>
      </c>
      <c r="I14" s="75" t="n">
        <v>0.407</v>
      </c>
      <c r="J14" s="2" t="n"/>
      <c r="K14" s="2" t="n"/>
      <c r="L14" s="2" t="n"/>
    </row>
    <row r="15">
      <c r="A15" s="2" t="n"/>
      <c r="B15" s="2" t="n"/>
      <c r="C15" s="2" t="n"/>
      <c r="D15" s="2" t="n"/>
      <c r="E15" s="43" t="inlineStr">
        <is>
          <t>5 CV</t>
        </is>
      </c>
      <c r="F15" s="75" t="n">
        <v>0.636</v>
      </c>
      <c r="G15" s="75" t="n">
        <v>0.357</v>
      </c>
      <c r="H15" s="70" t="n">
        <v>1395</v>
      </c>
      <c r="I15" s="75" t="n">
        <v>0.427</v>
      </c>
      <c r="J15" s="2" t="n"/>
      <c r="K15" s="2" t="n"/>
      <c r="L15" s="2" t="n"/>
    </row>
    <row r="16" ht="20" customHeight="1">
      <c r="A16" s="2" t="n"/>
      <c r="B16" s="40" t="inlineStr">
        <is>
          <t>Dirigeant &amp; cotisations sociales</t>
        </is>
      </c>
      <c r="D16" s="2" t="n"/>
      <c r="E16" s="43" t="inlineStr">
        <is>
          <t>6 CV</t>
        </is>
      </c>
      <c r="F16" s="75" t="n">
        <v>0.665</v>
      </c>
      <c r="G16" s="75" t="n">
        <v>0.374</v>
      </c>
      <c r="H16" s="70" t="n">
        <v>1457</v>
      </c>
      <c r="I16" s="75" t="n">
        <v>0.447</v>
      </c>
      <c r="J16" s="2" t="n"/>
      <c r="K16" s="2" t="n"/>
      <c r="L16" s="2" t="n"/>
    </row>
    <row r="17">
      <c r="A17" s="2" t="n"/>
      <c r="B17" s="50" t="inlineStr">
        <is>
          <t>Statut du dirigeant</t>
        </is>
      </c>
      <c r="C17" s="69" t="inlineStr">
        <is>
          <t>Assimilé salarié (SASU)</t>
        </is>
      </c>
      <c r="D17" s="2" t="n"/>
      <c r="E17" s="43" t="inlineStr">
        <is>
          <t>7 CV et plus</t>
        </is>
      </c>
      <c r="F17" s="75" t="n">
        <v>0.697</v>
      </c>
      <c r="G17" s="75" t="n">
        <v>0.394</v>
      </c>
      <c r="H17" s="70" t="n">
        <v>1515</v>
      </c>
      <c r="I17" s="75" t="n">
        <v>0.47</v>
      </c>
      <c r="J17" s="2" t="n"/>
      <c r="K17" s="2" t="n"/>
      <c r="L17" s="2" t="n"/>
    </row>
    <row r="18">
      <c r="A18" s="2" t="n"/>
      <c r="B18" s="50" t="inlineStr">
        <is>
          <t>Taux de charges — Assimilé salarié (SASU)</t>
        </is>
      </c>
      <c r="C18" s="71" t="n">
        <v>0.82</v>
      </c>
      <c r="D18" s="2" t="n"/>
      <c r="E18" s="2" t="n"/>
      <c r="F18" s="2" t="n"/>
      <c r="G18" s="2" t="n"/>
      <c r="H18" s="2" t="n"/>
      <c r="I18" s="2" t="n"/>
      <c r="J18" s="2" t="n"/>
      <c r="K18" s="2" t="n"/>
      <c r="L18" s="2" t="n"/>
    </row>
    <row r="19">
      <c r="A19" s="2" t="n"/>
      <c r="B19" s="50" t="inlineStr">
        <is>
          <t>Taux de charges — TNS gérant majoritaire (SARL)</t>
        </is>
      </c>
      <c r="C19" s="71" t="n">
        <v>0.45</v>
      </c>
      <c r="D19" s="2" t="n"/>
      <c r="E19" s="2" t="n"/>
      <c r="F19" s="2" t="n"/>
      <c r="G19" s="2" t="n"/>
      <c r="H19" s="2" t="n"/>
      <c r="I19" s="2" t="n"/>
      <c r="J19" s="2" t="n"/>
      <c r="K19" s="2" t="n"/>
      <c r="L19" s="2" t="n"/>
    </row>
    <row r="20" ht="20" customHeight="1">
      <c r="A20" s="2" t="n"/>
      <c r="B20" s="50" t="inlineStr">
        <is>
          <t>Salaire net mensuel versé</t>
        </is>
      </c>
      <c r="C20" s="73" t="n">
        <v>2600</v>
      </c>
      <c r="D20" s="2" t="n"/>
      <c r="E20" s="19" t="inlineStr">
        <is>
          <t>Listes de référence (menus déroulants — ne pas déplacer)</t>
        </is>
      </c>
      <c r="J20" s="2" t="n"/>
      <c r="K20" s="2" t="n"/>
      <c r="L20" s="2" t="n"/>
    </row>
    <row r="21">
      <c r="A21" s="2" t="n"/>
      <c r="B21" s="50" t="inlineStr">
        <is>
          <t>Taux de charges appliqué (auto, selon le statut)</t>
        </is>
      </c>
      <c r="C21" s="76">
        <f>IF($C$17="Assimilé salarié (SASU)",$C$18,$C$19)</f>
        <v/>
      </c>
      <c r="D21" s="2" t="n"/>
      <c r="E21" s="50" t="inlineStr">
        <is>
          <t>Taux de TVA</t>
        </is>
      </c>
      <c r="F21" s="77" t="n">
        <v>0.2</v>
      </c>
      <c r="G21" s="74" t="inlineStr">
        <is>
          <t>Les catégories de dépenses des menus déroulants sont celles de l'onglet 📋 Budget (colonne Catégorie).</t>
        </is>
      </c>
      <c r="J21" s="2" t="n"/>
      <c r="K21" s="2" t="n"/>
      <c r="L21" s="2" t="n"/>
    </row>
    <row r="22">
      <c r="A22" s="2" t="n"/>
      <c r="B22" s="74" t="inlineStr">
        <is>
          <t>Taux moyens indicatifs, à ajuster selon votre situation.</t>
        </is>
      </c>
      <c r="D22" s="2" t="n"/>
      <c r="E22" s="2" t="n"/>
      <c r="F22" s="77" t="n">
        <v>0.1</v>
      </c>
      <c r="J22" s="2" t="n"/>
      <c r="K22" s="2" t="n"/>
      <c r="L22" s="2" t="n"/>
    </row>
    <row r="23">
      <c r="A23" s="2" t="n"/>
      <c r="B23" s="2" t="n"/>
      <c r="C23" s="2" t="n"/>
      <c r="D23" s="2" t="n"/>
      <c r="E23" s="2" t="n"/>
      <c r="F23" s="77" t="n">
        <v>0.055</v>
      </c>
      <c r="G23" s="2" t="n"/>
      <c r="H23" s="2" t="n"/>
      <c r="I23" s="2" t="n"/>
      <c r="J23" s="2" t="n"/>
      <c r="K23" s="2" t="n"/>
      <c r="L23" s="2" t="n"/>
    </row>
    <row r="24" ht="20" customHeight="1">
      <c r="A24" s="2" t="n"/>
      <c r="B24" s="40" t="inlineStr">
        <is>
          <t>Échéancier &amp; simulateurs</t>
        </is>
      </c>
      <c r="D24" s="2" t="n"/>
      <c r="E24" s="2" t="n"/>
      <c r="F24" s="77" t="n">
        <v>0.021</v>
      </c>
      <c r="G24" s="2" t="n"/>
      <c r="H24" s="2" t="n"/>
      <c r="I24" s="2" t="n"/>
      <c r="J24" s="2" t="n"/>
      <c r="K24" s="2" t="n"/>
      <c r="L24" s="2" t="n"/>
    </row>
    <row r="25">
      <c r="A25" s="2" t="n"/>
      <c r="B25" s="50" t="inlineStr">
        <is>
          <t>Jour de prélèvement URSSAF (5 ou 15)</t>
        </is>
      </c>
      <c r="C25" s="72" t="n">
        <v>5</v>
      </c>
      <c r="D25" s="2" t="n"/>
      <c r="E25" s="2" t="n"/>
      <c r="F25" s="77" t="n">
        <v>0</v>
      </c>
      <c r="G25" s="2" t="n"/>
      <c r="H25" s="2" t="n"/>
      <c r="I25" s="2" t="n"/>
      <c r="J25" s="2" t="n"/>
      <c r="K25" s="2" t="n"/>
      <c r="L25" s="2" t="n"/>
    </row>
    <row r="26">
      <c r="A26" s="2" t="n"/>
      <c r="B26" s="50" t="inlineStr">
        <is>
          <t>Flat tax sur dividendes (PFU)</t>
        </is>
      </c>
      <c r="C26" s="71" t="n">
        <v>0.3</v>
      </c>
      <c r="D26" s="2" t="n"/>
      <c r="E26" s="2" t="n"/>
      <c r="F26" s="2" t="n"/>
      <c r="G26" s="2" t="n"/>
      <c r="H26" s="2" t="n"/>
      <c r="I26" s="2" t="n"/>
      <c r="J26" s="2" t="n"/>
      <c r="K26" s="2" t="n"/>
      <c r="L26" s="2" t="n"/>
    </row>
    <row r="27">
      <c r="A27" s="2" t="n"/>
      <c r="B27" s="50" t="inlineStr">
        <is>
          <t>Acompte TVA de juillet (réel simplifié)</t>
        </is>
      </c>
      <c r="C27" s="71" t="n">
        <v>0.55</v>
      </c>
      <c r="D27" s="2" t="n"/>
      <c r="E27" s="2" t="n"/>
      <c r="F27" s="2" t="n"/>
      <c r="G27" s="2" t="n"/>
      <c r="H27" s="2" t="n"/>
      <c r="I27" s="2" t="n"/>
      <c r="J27" s="2" t="n"/>
      <c r="K27" s="2" t="n"/>
      <c r="L27" s="2" t="n"/>
    </row>
    <row r="28">
      <c r="A28" s="2" t="n"/>
      <c r="B28" s="50" t="inlineStr">
        <is>
          <t>Acompte TVA de décembre (réel simplifié)</t>
        </is>
      </c>
      <c r="C28" s="71" t="n">
        <v>0.4</v>
      </c>
      <c r="D28" s="2" t="n"/>
      <c r="E28" s="2" t="n"/>
      <c r="F28" s="2" t="n"/>
      <c r="G28" s="2" t="n"/>
      <c r="H28" s="2" t="n"/>
      <c r="I28" s="2" t="n"/>
      <c r="J28" s="2" t="n"/>
      <c r="K28" s="2" t="n"/>
      <c r="L28" s="2" t="n"/>
    </row>
    <row r="29">
      <c r="A29" s="2" t="n"/>
      <c r="B29" s="74" t="inlineStr">
        <is>
          <t>Jours et taux usuels, à ajuster selon votre situation.</t>
        </is>
      </c>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sheetData>
  <mergeCells count="14">
    <mergeCell ref="A1:J1"/>
    <mergeCell ref="B24:C24"/>
    <mergeCell ref="B3:J3"/>
    <mergeCell ref="B16:C16"/>
    <mergeCell ref="B29:C29"/>
    <mergeCell ref="B11:C11"/>
    <mergeCell ref="E20:I20"/>
    <mergeCell ref="B5:C5"/>
    <mergeCell ref="E5:F5"/>
    <mergeCell ref="B22:C22"/>
    <mergeCell ref="E11:I11"/>
    <mergeCell ref="A2:J2"/>
    <mergeCell ref="E9:F9"/>
    <mergeCell ref="G21:I22"/>
  </mergeCells>
  <dataValidations count="4">
    <dataValidation sqref="C25" showDropDown="0" showInputMessage="0" showErrorMessage="0" allowBlank="1" type="list">
      <formula1>"5,15"</formula1>
    </dataValidation>
    <dataValidation sqref="C7" showDropDown="0" showInputMessage="0" showErrorMessage="0" allowBlank="1" type="list">
      <formula1>"SASU,SARL"</formula1>
    </dataValidation>
    <dataValidation sqref="C12" showDropDown="0" showInputMessage="0" showErrorMessage="0" allowBlank="1" type="list">
      <formula1>"Franchise en base,Réel simplifié,Réel normal"</formula1>
    </dataValidation>
    <dataValidation sqref="C17" showDropDown="0" showInputMessage="0" showErrorMessage="0" allowBlank="1" type="list">
      <formula1>"Assimilé salarié (SASU),TNS gérant majoritaire (SARL)"</formula1>
    </dataValidation>
  </dataValidations>
  <pageMargins left="0.75" right="0.75" top="1" bottom="1" header="0.5" footer="0.5"/>
</worksheet>
</file>

<file path=xl/worksheets/sheet4.xml><?xml version="1.0" encoding="utf-8"?>
<worksheet xmlns="http://schemas.openxmlformats.org/spreadsheetml/2006/main">
  <sheetPr>
    <tabColor rgb="008B7D6B"/>
    <outlinePr summaryBelow="1" summaryRight="1"/>
    <pageSetUpPr/>
  </sheetPr>
  <dimension ref="A1:P40"/>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3" customWidth="1" min="15" max="15"/>
    <col width="3" customWidth="1" min="16" max="16"/>
  </cols>
  <sheetData>
    <row r="1" ht="30" customHeight="1">
      <c r="A1" s="1" t="inlineStr">
        <is>
          <t>📋 BUDGET PRÉVISIONNEL</t>
        </is>
      </c>
      <c r="P1" s="2" t="n"/>
    </row>
    <row r="2" ht="16" customHeight="1">
      <c r="A2" s="3" t="inlineStr">
        <is>
          <t>En clair : ce que vous prévoyez de gagner et de dépenser — votre feuille de route de l'année.</t>
        </is>
      </c>
      <c r="P2" s="2" t="n"/>
    </row>
    <row r="3" ht="26" customHeight="1">
      <c r="A3" s="2" t="n"/>
      <c r="B3" s="53" t="inlineStr">
        <is>
          <t>💡 Saisissez vos prévisions dans les cellules crème (catégories personnalisables). Le salaire du dirigeant et ses charges sont pré-remplis depuis l'onglet ⚙️ Paramètres — vous pouvez les écraser.</t>
        </is>
      </c>
      <c r="P3" s="2" t="n"/>
    </row>
    <row r="4">
      <c r="A4" s="2" t="n"/>
      <c r="B4" s="2" t="n"/>
      <c r="C4" s="2" t="n"/>
      <c r="D4" s="2" t="n"/>
      <c r="E4" s="2" t="n"/>
      <c r="F4" s="2" t="n"/>
      <c r="G4" s="2" t="n"/>
      <c r="H4" s="2" t="n"/>
      <c r="I4" s="2" t="n"/>
      <c r="J4" s="2" t="n"/>
      <c r="K4" s="2" t="n"/>
      <c r="L4" s="2" t="n"/>
      <c r="M4" s="2" t="n"/>
      <c r="N4" s="2" t="n"/>
      <c r="O4" s="2" t="n"/>
      <c r="P4" s="2" t="n"/>
    </row>
    <row r="5" ht="20" customHeight="1">
      <c r="A5" s="2" t="n"/>
      <c r="B5" s="40" t="inlineStr">
        <is>
          <t>RECETTES PRÉVUES</t>
        </is>
      </c>
      <c r="P5" s="2" t="n"/>
    </row>
    <row r="6">
      <c r="A6" s="2" t="n"/>
      <c r="B6" s="41" t="inlineStr">
        <is>
          <t>Catégorie</t>
        </is>
      </c>
      <c r="C6" s="41" t="inlineStr">
        <is>
          <t>Janv</t>
        </is>
      </c>
      <c r="D6" s="41" t="inlineStr">
        <is>
          <t>Févr</t>
        </is>
      </c>
      <c r="E6" s="41" t="inlineStr">
        <is>
          <t>Mars</t>
        </is>
      </c>
      <c r="F6" s="41" t="inlineStr">
        <is>
          <t>Avr</t>
        </is>
      </c>
      <c r="G6" s="41" t="inlineStr">
        <is>
          <t>Mai</t>
        </is>
      </c>
      <c r="H6" s="41" t="inlineStr">
        <is>
          <t>Juin</t>
        </is>
      </c>
      <c r="I6" s="41" t="inlineStr">
        <is>
          <t>Juil</t>
        </is>
      </c>
      <c r="J6" s="41" t="inlineStr">
        <is>
          <t>Août</t>
        </is>
      </c>
      <c r="K6" s="41" t="inlineStr">
        <is>
          <t>Sept</t>
        </is>
      </c>
      <c r="L6" s="41" t="inlineStr">
        <is>
          <t>Oct</t>
        </is>
      </c>
      <c r="M6" s="41" t="inlineStr">
        <is>
          <t>Nov</t>
        </is>
      </c>
      <c r="N6" s="41" t="inlineStr">
        <is>
          <t>Déc</t>
        </is>
      </c>
      <c r="O6" s="41" t="inlineStr">
        <is>
          <t>Total</t>
        </is>
      </c>
      <c r="P6" s="2" t="n"/>
    </row>
    <row r="7">
      <c r="A7" s="2" t="n"/>
      <c r="B7" s="78" t="inlineStr">
        <is>
          <t>Prestations de conseil</t>
        </is>
      </c>
      <c r="C7" s="70" t="n">
        <v>6500</v>
      </c>
      <c r="D7" s="70" t="n">
        <v>7000</v>
      </c>
      <c r="E7" s="70" t="n">
        <v>7000</v>
      </c>
      <c r="F7" s="70" t="n">
        <v>7500</v>
      </c>
      <c r="G7" s="70" t="n">
        <v>7500</v>
      </c>
      <c r="H7" s="70" t="n">
        <v>8000</v>
      </c>
      <c r="I7" s="70" t="n">
        <v>6000</v>
      </c>
      <c r="J7" s="70" t="n">
        <v>4500</v>
      </c>
      <c r="K7" s="70" t="n">
        <v>8000</v>
      </c>
      <c r="L7" s="70" t="n">
        <v>8500</v>
      </c>
      <c r="M7" s="70" t="n">
        <v>8500</v>
      </c>
      <c r="N7" s="70" t="n">
        <v>7500</v>
      </c>
      <c r="O7" s="44">
        <f>SUM(C7:N7)</f>
        <v/>
      </c>
      <c r="P7" s="2" t="n"/>
    </row>
    <row r="8">
      <c r="A8" s="2" t="n"/>
      <c r="B8" s="78" t="inlineStr">
        <is>
          <t>Formations</t>
        </is>
      </c>
      <c r="C8" s="70" t="n">
        <v>1200</v>
      </c>
      <c r="D8" s="70" t="n">
        <v>0</v>
      </c>
      <c r="E8" s="70" t="n">
        <v>2400</v>
      </c>
      <c r="F8" s="70" t="n">
        <v>1200</v>
      </c>
      <c r="G8" s="70" t="n">
        <v>0</v>
      </c>
      <c r="H8" s="70" t="n">
        <v>2400</v>
      </c>
      <c r="I8" s="70" t="n">
        <v>0</v>
      </c>
      <c r="J8" s="70" t="n">
        <v>0</v>
      </c>
      <c r="K8" s="70" t="n">
        <v>2400</v>
      </c>
      <c r="L8" s="70" t="n">
        <v>1200</v>
      </c>
      <c r="M8" s="70" t="n">
        <v>0</v>
      </c>
      <c r="N8" s="70" t="n">
        <v>1200</v>
      </c>
      <c r="O8" s="44">
        <f>SUM(C8:N8)</f>
        <v/>
      </c>
      <c r="P8" s="2" t="n"/>
    </row>
    <row r="9">
      <c r="A9" s="2" t="n"/>
      <c r="B9" s="78" t="inlineStr">
        <is>
          <t>Ateliers &amp; séminaires</t>
        </is>
      </c>
      <c r="C9" s="70" t="n">
        <v>0</v>
      </c>
      <c r="D9" s="70" t="n">
        <v>800</v>
      </c>
      <c r="E9" s="70" t="n">
        <v>0</v>
      </c>
      <c r="F9" s="70" t="n">
        <v>800</v>
      </c>
      <c r="G9" s="70" t="n">
        <v>0</v>
      </c>
      <c r="H9" s="70" t="n">
        <v>800</v>
      </c>
      <c r="I9" s="70" t="n">
        <v>0</v>
      </c>
      <c r="J9" s="70" t="n">
        <v>0</v>
      </c>
      <c r="K9" s="70" t="n">
        <v>800</v>
      </c>
      <c r="L9" s="70" t="n">
        <v>0</v>
      </c>
      <c r="M9" s="70" t="n">
        <v>800</v>
      </c>
      <c r="N9" s="70" t="n">
        <v>0</v>
      </c>
      <c r="O9" s="44">
        <f>SUM(C9:N9)</f>
        <v/>
      </c>
      <c r="P9" s="2" t="n"/>
    </row>
    <row r="10">
      <c r="A10" s="2" t="n"/>
      <c r="B10" s="78" t="inlineStr">
        <is>
          <t>Commissions &amp; apport d'affaires</t>
        </is>
      </c>
      <c r="C10" s="70" t="n">
        <v>150</v>
      </c>
      <c r="D10" s="70" t="n">
        <v>150</v>
      </c>
      <c r="E10" s="70" t="n">
        <v>150</v>
      </c>
      <c r="F10" s="70" t="n">
        <v>150</v>
      </c>
      <c r="G10" s="70" t="n">
        <v>150</v>
      </c>
      <c r="H10" s="70" t="n">
        <v>150</v>
      </c>
      <c r="I10" s="70" t="n">
        <v>150</v>
      </c>
      <c r="J10" s="70" t="n">
        <v>150</v>
      </c>
      <c r="K10" s="70" t="n">
        <v>150</v>
      </c>
      <c r="L10" s="70" t="n">
        <v>150</v>
      </c>
      <c r="M10" s="70" t="n">
        <v>150</v>
      </c>
      <c r="N10" s="70" t="n">
        <v>150</v>
      </c>
      <c r="O10" s="44">
        <f>SUM(C10:N10)</f>
        <v/>
      </c>
      <c r="P10" s="2" t="n"/>
    </row>
    <row r="11">
      <c r="A11" s="2" t="n"/>
      <c r="B11" s="78" t="inlineStr">
        <is>
          <t>Autres recettes</t>
        </is>
      </c>
      <c r="C11" s="70" t="n">
        <v>0</v>
      </c>
      <c r="D11" s="70" t="n">
        <v>0</v>
      </c>
      <c r="E11" s="70" t="n">
        <v>0</v>
      </c>
      <c r="F11" s="70" t="n">
        <v>0</v>
      </c>
      <c r="G11" s="70" t="n">
        <v>0</v>
      </c>
      <c r="H11" s="70" t="n">
        <v>0</v>
      </c>
      <c r="I11" s="70" t="n">
        <v>0</v>
      </c>
      <c r="J11" s="70" t="n">
        <v>0</v>
      </c>
      <c r="K11" s="70" t="n">
        <v>0</v>
      </c>
      <c r="L11" s="70" t="n">
        <v>0</v>
      </c>
      <c r="M11" s="70" t="n">
        <v>0</v>
      </c>
      <c r="N11" s="70" t="n">
        <v>0</v>
      </c>
      <c r="O11" s="44">
        <f>SUM(C11:N11)</f>
        <v/>
      </c>
      <c r="P11" s="2" t="n"/>
    </row>
    <row r="12">
      <c r="A12" s="2" t="n"/>
      <c r="B12" s="79" t="inlineStr">
        <is>
          <t>Total recettes prévues</t>
        </is>
      </c>
      <c r="C12" s="80">
        <f>SUM(C7:C11)</f>
        <v/>
      </c>
      <c r="D12" s="80">
        <f>SUM(D7:D11)</f>
        <v/>
      </c>
      <c r="E12" s="80">
        <f>SUM(E7:E11)</f>
        <v/>
      </c>
      <c r="F12" s="80">
        <f>SUM(F7:F11)</f>
        <v/>
      </c>
      <c r="G12" s="80">
        <f>SUM(G7:G11)</f>
        <v/>
      </c>
      <c r="H12" s="80">
        <f>SUM(H7:H11)</f>
        <v/>
      </c>
      <c r="I12" s="80">
        <f>SUM(I7:I11)</f>
        <v/>
      </c>
      <c r="J12" s="80">
        <f>SUM(J7:J11)</f>
        <v/>
      </c>
      <c r="K12" s="80">
        <f>SUM(K7:K11)</f>
        <v/>
      </c>
      <c r="L12" s="80">
        <f>SUM(L7:L11)</f>
        <v/>
      </c>
      <c r="M12" s="80">
        <f>SUM(M7:M11)</f>
        <v/>
      </c>
      <c r="N12" s="80">
        <f>SUM(N7:N11)</f>
        <v/>
      </c>
      <c r="O12" s="80">
        <f>SUM(O7:O11)</f>
        <v/>
      </c>
      <c r="P12" s="2" t="n"/>
    </row>
    <row r="13">
      <c r="A13" s="2" t="n"/>
      <c r="B13" s="2" t="n"/>
      <c r="C13" s="2" t="n"/>
      <c r="D13" s="2" t="n"/>
      <c r="E13" s="2" t="n"/>
      <c r="F13" s="2" t="n"/>
      <c r="G13" s="2" t="n"/>
      <c r="H13" s="2" t="n"/>
      <c r="I13" s="2" t="n"/>
      <c r="J13" s="2" t="n"/>
      <c r="K13" s="2" t="n"/>
      <c r="L13" s="2" t="n"/>
      <c r="M13" s="2" t="n"/>
      <c r="N13" s="2" t="n"/>
      <c r="O13" s="2" t="n"/>
      <c r="P13" s="2" t="n"/>
    </row>
    <row r="14" ht="20" customHeight="1">
      <c r="A14" s="2" t="n"/>
      <c r="B14" s="40" t="inlineStr">
        <is>
          <t>DÉPENSES PRÉVUES</t>
        </is>
      </c>
      <c r="P14" s="2" t="n"/>
    </row>
    <row r="15">
      <c r="A15" s="2" t="n"/>
      <c r="B15" s="41" t="inlineStr">
        <is>
          <t>Catégorie</t>
        </is>
      </c>
      <c r="C15" s="41" t="inlineStr">
        <is>
          <t>Janv</t>
        </is>
      </c>
      <c r="D15" s="41" t="inlineStr">
        <is>
          <t>Févr</t>
        </is>
      </c>
      <c r="E15" s="41" t="inlineStr">
        <is>
          <t>Mars</t>
        </is>
      </c>
      <c r="F15" s="41" t="inlineStr">
        <is>
          <t>Avr</t>
        </is>
      </c>
      <c r="G15" s="41" t="inlineStr">
        <is>
          <t>Mai</t>
        </is>
      </c>
      <c r="H15" s="41" t="inlineStr">
        <is>
          <t>Juin</t>
        </is>
      </c>
      <c r="I15" s="41" t="inlineStr">
        <is>
          <t>Juil</t>
        </is>
      </c>
      <c r="J15" s="41" t="inlineStr">
        <is>
          <t>Août</t>
        </is>
      </c>
      <c r="K15" s="41" t="inlineStr">
        <is>
          <t>Sept</t>
        </is>
      </c>
      <c r="L15" s="41" t="inlineStr">
        <is>
          <t>Oct</t>
        </is>
      </c>
      <c r="M15" s="41" t="inlineStr">
        <is>
          <t>Nov</t>
        </is>
      </c>
      <c r="N15" s="41" t="inlineStr">
        <is>
          <t>Déc</t>
        </is>
      </c>
      <c r="O15" s="41" t="inlineStr">
        <is>
          <t>Total</t>
        </is>
      </c>
      <c r="P15" s="2" t="n"/>
    </row>
    <row r="16">
      <c r="A16" s="2" t="n"/>
      <c r="B16" s="78" t="inlineStr">
        <is>
          <t>Achats &amp; fournitures</t>
        </is>
      </c>
      <c r="C16" s="70" t="n">
        <v>120</v>
      </c>
      <c r="D16" s="70" t="n">
        <v>120</v>
      </c>
      <c r="E16" s="70" t="n">
        <v>120</v>
      </c>
      <c r="F16" s="70" t="n">
        <v>120</v>
      </c>
      <c r="G16" s="70" t="n">
        <v>120</v>
      </c>
      <c r="H16" s="70" t="n">
        <v>120</v>
      </c>
      <c r="I16" s="70" t="n">
        <v>120</v>
      </c>
      <c r="J16" s="70" t="n">
        <v>120</v>
      </c>
      <c r="K16" s="70" t="n">
        <v>120</v>
      </c>
      <c r="L16" s="70" t="n">
        <v>120</v>
      </c>
      <c r="M16" s="70" t="n">
        <v>120</v>
      </c>
      <c r="N16" s="70" t="n">
        <v>120</v>
      </c>
      <c r="O16" s="44">
        <f>SUM(C16:N16)</f>
        <v/>
      </c>
      <c r="P16" s="2" t="n"/>
    </row>
    <row r="17">
      <c r="A17" s="2" t="n"/>
      <c r="B17" s="78" t="inlineStr">
        <is>
          <t>Sous-traitance</t>
        </is>
      </c>
      <c r="C17" s="70" t="n">
        <v>400</v>
      </c>
      <c r="D17" s="70" t="n">
        <v>400</v>
      </c>
      <c r="E17" s="70" t="n">
        <v>600</v>
      </c>
      <c r="F17" s="70" t="n">
        <v>400</v>
      </c>
      <c r="G17" s="70" t="n">
        <v>400</v>
      </c>
      <c r="H17" s="70" t="n">
        <v>600</v>
      </c>
      <c r="I17" s="70" t="n">
        <v>200</v>
      </c>
      <c r="J17" s="70" t="n">
        <v>0</v>
      </c>
      <c r="K17" s="70" t="n">
        <v>600</v>
      </c>
      <c r="L17" s="70" t="n">
        <v>400</v>
      </c>
      <c r="M17" s="70" t="n">
        <v>400</v>
      </c>
      <c r="N17" s="70" t="n">
        <v>600</v>
      </c>
      <c r="O17" s="44">
        <f>SUM(C17:N17)</f>
        <v/>
      </c>
      <c r="P17" s="2" t="n"/>
    </row>
    <row r="18">
      <c r="A18" s="2" t="n"/>
      <c r="B18" s="78" t="inlineStr">
        <is>
          <t>Loyer &amp; charges</t>
        </is>
      </c>
      <c r="C18" s="70" t="n">
        <v>350</v>
      </c>
      <c r="D18" s="70" t="n">
        <v>350</v>
      </c>
      <c r="E18" s="70" t="n">
        <v>350</v>
      </c>
      <c r="F18" s="70" t="n">
        <v>350</v>
      </c>
      <c r="G18" s="70" t="n">
        <v>350</v>
      </c>
      <c r="H18" s="70" t="n">
        <v>350</v>
      </c>
      <c r="I18" s="70" t="n">
        <v>350</v>
      </c>
      <c r="J18" s="70" t="n">
        <v>350</v>
      </c>
      <c r="K18" s="70" t="n">
        <v>350</v>
      </c>
      <c r="L18" s="70" t="n">
        <v>350</v>
      </c>
      <c r="M18" s="70" t="n">
        <v>350</v>
      </c>
      <c r="N18" s="70" t="n">
        <v>350</v>
      </c>
      <c r="O18" s="44">
        <f>SUM(C18:N18)</f>
        <v/>
      </c>
      <c r="P18" s="2" t="n"/>
    </row>
    <row r="19">
      <c r="A19" s="2" t="n"/>
      <c r="B19" s="78" t="inlineStr">
        <is>
          <t>Assurances</t>
        </is>
      </c>
      <c r="C19" s="70" t="n">
        <v>45</v>
      </c>
      <c r="D19" s="70" t="n">
        <v>45</v>
      </c>
      <c r="E19" s="70" t="n">
        <v>45</v>
      </c>
      <c r="F19" s="70" t="n">
        <v>45</v>
      </c>
      <c r="G19" s="70" t="n">
        <v>45</v>
      </c>
      <c r="H19" s="70" t="n">
        <v>45</v>
      </c>
      <c r="I19" s="70" t="n">
        <v>45</v>
      </c>
      <c r="J19" s="70" t="n">
        <v>45</v>
      </c>
      <c r="K19" s="70" t="n">
        <v>45</v>
      </c>
      <c r="L19" s="70" t="n">
        <v>45</v>
      </c>
      <c r="M19" s="70" t="n">
        <v>45</v>
      </c>
      <c r="N19" s="70" t="n">
        <v>45</v>
      </c>
      <c r="O19" s="44">
        <f>SUM(C19:N19)</f>
        <v/>
      </c>
      <c r="P19" s="2" t="n"/>
    </row>
    <row r="20">
      <c r="A20" s="2" t="n"/>
      <c r="B20" s="78" t="inlineStr">
        <is>
          <t>Télécom &amp; internet</t>
        </is>
      </c>
      <c r="C20" s="70" t="n">
        <v>55</v>
      </c>
      <c r="D20" s="70" t="n">
        <v>55</v>
      </c>
      <c r="E20" s="70" t="n">
        <v>55</v>
      </c>
      <c r="F20" s="70" t="n">
        <v>55</v>
      </c>
      <c r="G20" s="70" t="n">
        <v>55</v>
      </c>
      <c r="H20" s="70" t="n">
        <v>55</v>
      </c>
      <c r="I20" s="70" t="n">
        <v>55</v>
      </c>
      <c r="J20" s="70" t="n">
        <v>55</v>
      </c>
      <c r="K20" s="70" t="n">
        <v>55</v>
      </c>
      <c r="L20" s="70" t="n">
        <v>55</v>
      </c>
      <c r="M20" s="70" t="n">
        <v>55</v>
      </c>
      <c r="N20" s="70" t="n">
        <v>55</v>
      </c>
      <c r="O20" s="44">
        <f>SUM(C20:N20)</f>
        <v/>
      </c>
      <c r="P20" s="2" t="n"/>
    </row>
    <row r="21">
      <c r="A21" s="2" t="n"/>
      <c r="B21" s="78" t="inlineStr">
        <is>
          <t>Logiciels &amp; abonnements</t>
        </is>
      </c>
      <c r="C21" s="70" t="n">
        <v>130</v>
      </c>
      <c r="D21" s="70" t="n">
        <v>130</v>
      </c>
      <c r="E21" s="70" t="n">
        <v>130</v>
      </c>
      <c r="F21" s="70" t="n">
        <v>130</v>
      </c>
      <c r="G21" s="70" t="n">
        <v>130</v>
      </c>
      <c r="H21" s="70" t="n">
        <v>130</v>
      </c>
      <c r="I21" s="70" t="n">
        <v>130</v>
      </c>
      <c r="J21" s="70" t="n">
        <v>130</v>
      </c>
      <c r="K21" s="70" t="n">
        <v>130</v>
      </c>
      <c r="L21" s="70" t="n">
        <v>130</v>
      </c>
      <c r="M21" s="70" t="n">
        <v>130</v>
      </c>
      <c r="N21" s="70" t="n">
        <v>130</v>
      </c>
      <c r="O21" s="44">
        <f>SUM(C21:N21)</f>
        <v/>
      </c>
      <c r="P21" s="2" t="n"/>
    </row>
    <row r="22">
      <c r="A22" s="2" t="n"/>
      <c r="B22" s="78" t="inlineStr">
        <is>
          <t>Marketing &amp; communication</t>
        </is>
      </c>
      <c r="C22" s="70" t="n">
        <v>250</v>
      </c>
      <c r="D22" s="70" t="n">
        <v>250</v>
      </c>
      <c r="E22" s="70" t="n">
        <v>250</v>
      </c>
      <c r="F22" s="70" t="n">
        <v>250</v>
      </c>
      <c r="G22" s="70" t="n">
        <v>250</v>
      </c>
      <c r="H22" s="70" t="n">
        <v>250</v>
      </c>
      <c r="I22" s="70" t="n">
        <v>250</v>
      </c>
      <c r="J22" s="70" t="n">
        <v>250</v>
      </c>
      <c r="K22" s="70" t="n">
        <v>250</v>
      </c>
      <c r="L22" s="70" t="n">
        <v>250</v>
      </c>
      <c r="M22" s="70" t="n">
        <v>250</v>
      </c>
      <c r="N22" s="70" t="n">
        <v>250</v>
      </c>
      <c r="O22" s="44">
        <f>SUM(C22:N22)</f>
        <v/>
      </c>
      <c r="P22" s="2" t="n"/>
    </row>
    <row r="23">
      <c r="A23" s="2" t="n"/>
      <c r="B23" s="78" t="inlineStr">
        <is>
          <t>Déplacements &amp; missions</t>
        </is>
      </c>
      <c r="C23" s="70" t="n">
        <v>180</v>
      </c>
      <c r="D23" s="70" t="n">
        <v>180</v>
      </c>
      <c r="E23" s="70" t="n">
        <v>180</v>
      </c>
      <c r="F23" s="70" t="n">
        <v>180</v>
      </c>
      <c r="G23" s="70" t="n">
        <v>180</v>
      </c>
      <c r="H23" s="70" t="n">
        <v>180</v>
      </c>
      <c r="I23" s="70" t="n">
        <v>180</v>
      </c>
      <c r="J23" s="70" t="n">
        <v>180</v>
      </c>
      <c r="K23" s="70" t="n">
        <v>180</v>
      </c>
      <c r="L23" s="70" t="n">
        <v>180</v>
      </c>
      <c r="M23" s="70" t="n">
        <v>180</v>
      </c>
      <c r="N23" s="70" t="n">
        <v>180</v>
      </c>
      <c r="O23" s="44">
        <f>SUM(C23:N23)</f>
        <v/>
      </c>
      <c r="P23" s="2" t="n"/>
    </row>
    <row r="24">
      <c r="A24" s="2" t="n"/>
      <c r="B24" s="78" t="inlineStr">
        <is>
          <t>Salaire net dirigeant</t>
        </is>
      </c>
      <c r="C24" s="70">
        <f>SALAIRE_NET</f>
        <v/>
      </c>
      <c r="D24" s="70">
        <f>SALAIRE_NET</f>
        <v/>
      </c>
      <c r="E24" s="70">
        <f>SALAIRE_NET</f>
        <v/>
      </c>
      <c r="F24" s="70">
        <f>SALAIRE_NET</f>
        <v/>
      </c>
      <c r="G24" s="70">
        <f>SALAIRE_NET</f>
        <v/>
      </c>
      <c r="H24" s="70">
        <f>SALAIRE_NET</f>
        <v/>
      </c>
      <c r="I24" s="70">
        <f>SALAIRE_NET</f>
        <v/>
      </c>
      <c r="J24" s="70">
        <f>SALAIRE_NET</f>
        <v/>
      </c>
      <c r="K24" s="70">
        <f>SALAIRE_NET</f>
        <v/>
      </c>
      <c r="L24" s="70">
        <f>SALAIRE_NET</f>
        <v/>
      </c>
      <c r="M24" s="70">
        <f>SALAIRE_NET</f>
        <v/>
      </c>
      <c r="N24" s="70">
        <f>SALAIRE_NET</f>
        <v/>
      </c>
      <c r="O24" s="44">
        <f>SUM(C24:N24)</f>
        <v/>
      </c>
      <c r="P24" s="2" t="n"/>
    </row>
    <row r="25">
      <c r="A25" s="2" t="n"/>
      <c r="B25" s="78" t="inlineStr">
        <is>
          <t>Charges sociales dirigeant</t>
        </is>
      </c>
      <c r="C25" s="70">
        <f>ROUND(SALAIRE_NET*TAUX_CHARGES,0)</f>
        <v/>
      </c>
      <c r="D25" s="70">
        <f>ROUND(SALAIRE_NET*TAUX_CHARGES,0)</f>
        <v/>
      </c>
      <c r="E25" s="70">
        <f>ROUND(SALAIRE_NET*TAUX_CHARGES,0)</f>
        <v/>
      </c>
      <c r="F25" s="70">
        <f>ROUND(SALAIRE_NET*TAUX_CHARGES,0)</f>
        <v/>
      </c>
      <c r="G25" s="70">
        <f>ROUND(SALAIRE_NET*TAUX_CHARGES,0)</f>
        <v/>
      </c>
      <c r="H25" s="70">
        <f>ROUND(SALAIRE_NET*TAUX_CHARGES,0)</f>
        <v/>
      </c>
      <c r="I25" s="70">
        <f>ROUND(SALAIRE_NET*TAUX_CHARGES,0)</f>
        <v/>
      </c>
      <c r="J25" s="70">
        <f>ROUND(SALAIRE_NET*TAUX_CHARGES,0)</f>
        <v/>
      </c>
      <c r="K25" s="70">
        <f>ROUND(SALAIRE_NET*TAUX_CHARGES,0)</f>
        <v/>
      </c>
      <c r="L25" s="70">
        <f>ROUND(SALAIRE_NET*TAUX_CHARGES,0)</f>
        <v/>
      </c>
      <c r="M25" s="70">
        <f>ROUND(SALAIRE_NET*TAUX_CHARGES,0)</f>
        <v/>
      </c>
      <c r="N25" s="70">
        <f>ROUND(SALAIRE_NET*TAUX_CHARGES,0)</f>
        <v/>
      </c>
      <c r="O25" s="44">
        <f>SUM(C25:N25)</f>
        <v/>
      </c>
      <c r="P25" s="2" t="n"/>
    </row>
    <row r="26">
      <c r="A26" s="2" t="n"/>
      <c r="B26" s="78" t="inlineStr">
        <is>
          <t>Honoraires comptables</t>
        </is>
      </c>
      <c r="C26" s="70" t="n">
        <v>120</v>
      </c>
      <c r="D26" s="70" t="n">
        <v>120</v>
      </c>
      <c r="E26" s="70" t="n">
        <v>120</v>
      </c>
      <c r="F26" s="70" t="n">
        <v>120</v>
      </c>
      <c r="G26" s="70" t="n">
        <v>120</v>
      </c>
      <c r="H26" s="70" t="n">
        <v>120</v>
      </c>
      <c r="I26" s="70" t="n">
        <v>120</v>
      </c>
      <c r="J26" s="70" t="n">
        <v>120</v>
      </c>
      <c r="K26" s="70" t="n">
        <v>120</v>
      </c>
      <c r="L26" s="70" t="n">
        <v>120</v>
      </c>
      <c r="M26" s="70" t="n">
        <v>120</v>
      </c>
      <c r="N26" s="70" t="n">
        <v>120</v>
      </c>
      <c r="O26" s="44">
        <f>SUM(C26:N26)</f>
        <v/>
      </c>
      <c r="P26" s="2" t="n"/>
    </row>
    <row r="27">
      <c r="A27" s="2" t="n"/>
      <c r="B27" s="78" t="inlineStr">
        <is>
          <t>Frais bancaires</t>
        </is>
      </c>
      <c r="C27" s="70" t="n">
        <v>29</v>
      </c>
      <c r="D27" s="70" t="n">
        <v>29</v>
      </c>
      <c r="E27" s="70" t="n">
        <v>29</v>
      </c>
      <c r="F27" s="70" t="n">
        <v>29</v>
      </c>
      <c r="G27" s="70" t="n">
        <v>29</v>
      </c>
      <c r="H27" s="70" t="n">
        <v>29</v>
      </c>
      <c r="I27" s="70" t="n">
        <v>29</v>
      </c>
      <c r="J27" s="70" t="n">
        <v>29</v>
      </c>
      <c r="K27" s="70" t="n">
        <v>29</v>
      </c>
      <c r="L27" s="70" t="n">
        <v>29</v>
      </c>
      <c r="M27" s="70" t="n">
        <v>29</v>
      </c>
      <c r="N27" s="70" t="n">
        <v>29</v>
      </c>
      <c r="O27" s="44">
        <f>SUM(C27:N27)</f>
        <v/>
      </c>
      <c r="P27" s="2" t="n"/>
    </row>
    <row r="28">
      <c r="A28" s="2" t="n"/>
      <c r="B28" s="78" t="inlineStr">
        <is>
          <t>Formation</t>
        </is>
      </c>
      <c r="C28" s="70" t="n">
        <v>0</v>
      </c>
      <c r="D28" s="70" t="n">
        <v>0</v>
      </c>
      <c r="E28" s="70" t="n">
        <v>0</v>
      </c>
      <c r="F28" s="70" t="n">
        <v>800</v>
      </c>
      <c r="G28" s="70" t="n">
        <v>0</v>
      </c>
      <c r="H28" s="70" t="n">
        <v>0</v>
      </c>
      <c r="I28" s="70" t="n">
        <v>0</v>
      </c>
      <c r="J28" s="70" t="n">
        <v>0</v>
      </c>
      <c r="K28" s="70" t="n">
        <v>0</v>
      </c>
      <c r="L28" s="70" t="n">
        <v>600</v>
      </c>
      <c r="M28" s="70" t="n">
        <v>0</v>
      </c>
      <c r="N28" s="70" t="n">
        <v>0</v>
      </c>
      <c r="O28" s="44">
        <f>SUM(C28:N28)</f>
        <v/>
      </c>
      <c r="P28" s="2" t="n"/>
    </row>
    <row r="29">
      <c r="A29" s="2" t="n"/>
      <c r="B29" s="78" t="inlineStr">
        <is>
          <t>Entretien &amp; petit équipement</t>
        </is>
      </c>
      <c r="C29" s="70" t="n">
        <v>40</v>
      </c>
      <c r="D29" s="70" t="n">
        <v>40</v>
      </c>
      <c r="E29" s="70" t="n">
        <v>40</v>
      </c>
      <c r="F29" s="70" t="n">
        <v>40</v>
      </c>
      <c r="G29" s="70" t="n">
        <v>40</v>
      </c>
      <c r="H29" s="70" t="n">
        <v>40</v>
      </c>
      <c r="I29" s="70" t="n">
        <v>40</v>
      </c>
      <c r="J29" s="70" t="n">
        <v>40</v>
      </c>
      <c r="K29" s="70" t="n">
        <v>40</v>
      </c>
      <c r="L29" s="70" t="n">
        <v>40</v>
      </c>
      <c r="M29" s="70" t="n">
        <v>40</v>
      </c>
      <c r="N29" s="70" t="n">
        <v>40</v>
      </c>
      <c r="O29" s="44">
        <f>SUM(C29:N29)</f>
        <v/>
      </c>
      <c r="P29" s="2" t="n"/>
    </row>
    <row r="30">
      <c r="A30" s="2" t="n"/>
      <c r="B30" s="78" t="inlineStr">
        <is>
          <t>Divers &amp; imprévus</t>
        </is>
      </c>
      <c r="C30" s="70" t="n">
        <v>100</v>
      </c>
      <c r="D30" s="70" t="n">
        <v>100</v>
      </c>
      <c r="E30" s="70" t="n">
        <v>100</v>
      </c>
      <c r="F30" s="70" t="n">
        <v>100</v>
      </c>
      <c r="G30" s="70" t="n">
        <v>100</v>
      </c>
      <c r="H30" s="70" t="n">
        <v>100</v>
      </c>
      <c r="I30" s="70" t="n">
        <v>100</v>
      </c>
      <c r="J30" s="70" t="n">
        <v>100</v>
      </c>
      <c r="K30" s="70" t="n">
        <v>100</v>
      </c>
      <c r="L30" s="70" t="n">
        <v>100</v>
      </c>
      <c r="M30" s="70" t="n">
        <v>100</v>
      </c>
      <c r="N30" s="70" t="n">
        <v>100</v>
      </c>
      <c r="O30" s="44">
        <f>SUM(C30:N30)</f>
        <v/>
      </c>
      <c r="P30" s="2" t="n"/>
    </row>
    <row r="31">
      <c r="A31" s="2" t="n"/>
      <c r="B31" s="79" t="inlineStr">
        <is>
          <t>Total dépenses prévues</t>
        </is>
      </c>
      <c r="C31" s="80">
        <f>SUM(C16:C30)</f>
        <v/>
      </c>
      <c r="D31" s="80">
        <f>SUM(D16:D30)</f>
        <v/>
      </c>
      <c r="E31" s="80">
        <f>SUM(E16:E30)</f>
        <v/>
      </c>
      <c r="F31" s="80">
        <f>SUM(F16:F30)</f>
        <v/>
      </c>
      <c r="G31" s="80">
        <f>SUM(G16:G30)</f>
        <v/>
      </c>
      <c r="H31" s="80">
        <f>SUM(H16:H30)</f>
        <v/>
      </c>
      <c r="I31" s="80">
        <f>SUM(I16:I30)</f>
        <v/>
      </c>
      <c r="J31" s="80">
        <f>SUM(J16:J30)</f>
        <v/>
      </c>
      <c r="K31" s="80">
        <f>SUM(K16:K30)</f>
        <v/>
      </c>
      <c r="L31" s="80">
        <f>SUM(L16:L30)</f>
        <v/>
      </c>
      <c r="M31" s="80">
        <f>SUM(M16:M30)</f>
        <v/>
      </c>
      <c r="N31" s="80">
        <f>SUM(N16:N30)</f>
        <v/>
      </c>
      <c r="O31" s="80">
        <f>SUM(O16:O30)</f>
        <v/>
      </c>
      <c r="P31" s="2" t="n"/>
    </row>
    <row r="32">
      <c r="A32" s="2" t="n"/>
      <c r="B32" s="2" t="n"/>
      <c r="C32" s="2" t="n"/>
      <c r="D32" s="2" t="n"/>
      <c r="E32" s="2" t="n"/>
      <c r="F32" s="2" t="n"/>
      <c r="G32" s="2" t="n"/>
      <c r="H32" s="2" t="n"/>
      <c r="I32" s="2" t="n"/>
      <c r="J32" s="2" t="n"/>
      <c r="K32" s="2" t="n"/>
      <c r="L32" s="2" t="n"/>
      <c r="M32" s="2" t="n"/>
      <c r="N32" s="2" t="n"/>
      <c r="O32" s="2" t="n"/>
      <c r="P32" s="2" t="n"/>
    </row>
    <row r="33">
      <c r="A33" s="2" t="n"/>
      <c r="B33" s="81" t="inlineStr">
        <is>
          <t>Résultat prévisionnel mensuel</t>
        </is>
      </c>
      <c r="C33" s="82">
        <f>C12-C31</f>
        <v/>
      </c>
      <c r="D33" s="82">
        <f>D12-D31</f>
        <v/>
      </c>
      <c r="E33" s="82">
        <f>E12-E31</f>
        <v/>
      </c>
      <c r="F33" s="82">
        <f>F12-F31</f>
        <v/>
      </c>
      <c r="G33" s="82">
        <f>G12-G31</f>
        <v/>
      </c>
      <c r="H33" s="82">
        <f>H12-H31</f>
        <v/>
      </c>
      <c r="I33" s="82">
        <f>I12-I31</f>
        <v/>
      </c>
      <c r="J33" s="82">
        <f>J12-J31</f>
        <v/>
      </c>
      <c r="K33" s="82">
        <f>K12-K31</f>
        <v/>
      </c>
      <c r="L33" s="82">
        <f>L12-L31</f>
        <v/>
      </c>
      <c r="M33" s="82">
        <f>M12-M31</f>
        <v/>
      </c>
      <c r="N33" s="82">
        <f>N12-N31</f>
        <v/>
      </c>
      <c r="O33" s="82">
        <f>O12-O31</f>
        <v/>
      </c>
      <c r="P33" s="2" t="n"/>
    </row>
    <row r="34">
      <c r="A34" s="2" t="n"/>
      <c r="B34" s="81" t="inlineStr">
        <is>
          <t>Résultat prévisionnel cumulé</t>
        </is>
      </c>
      <c r="C34" s="82">
        <f>C33</f>
        <v/>
      </c>
      <c r="D34" s="82">
        <f>C34+D33</f>
        <v/>
      </c>
      <c r="E34" s="82">
        <f>D34+E33</f>
        <v/>
      </c>
      <c r="F34" s="82">
        <f>E34+F33</f>
        <v/>
      </c>
      <c r="G34" s="82">
        <f>F34+G33</f>
        <v/>
      </c>
      <c r="H34" s="82">
        <f>G34+H33</f>
        <v/>
      </c>
      <c r="I34" s="82">
        <f>H34+I33</f>
        <v/>
      </c>
      <c r="J34" s="82">
        <f>I34+J33</f>
        <v/>
      </c>
      <c r="K34" s="82">
        <f>J34+K33</f>
        <v/>
      </c>
      <c r="L34" s="82">
        <f>K34+L33</f>
        <v/>
      </c>
      <c r="M34" s="82">
        <f>L34+M33</f>
        <v/>
      </c>
      <c r="N34" s="82">
        <f>M34+N33</f>
        <v/>
      </c>
      <c r="O34" s="82">
        <f>N34</f>
        <v/>
      </c>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sheetData>
  <mergeCells count="5">
    <mergeCell ref="A2:O2"/>
    <mergeCell ref="A1:O1"/>
    <mergeCell ref="B3:O3"/>
    <mergeCell ref="B5:O5"/>
    <mergeCell ref="B14:O14"/>
  </mergeCells>
  <pageMargins left="0.75" right="0.75" top="1" bottom="1" header="0.5" footer="0.5"/>
</worksheet>
</file>

<file path=xl/worksheets/sheet5.xml><?xml version="1.0" encoding="utf-8"?>
<worksheet xmlns="http://schemas.openxmlformats.org/spreadsheetml/2006/main">
  <sheetPr>
    <tabColor rgb="008B7D6B"/>
    <outlinePr summaryBelow="1" summaryRight="1"/>
    <pageSetUpPr/>
  </sheetPr>
  <dimension ref="A1:P215"/>
  <sheetViews>
    <sheetView showGridLines="0" workbookViewId="0">
      <pane ySplit="9" topLeftCell="A10" activePane="bottomLeft" state="frozen"/>
      <selection pane="bottomLeft" activeCell="A1" sqref="A1"/>
    </sheetView>
  </sheetViews>
  <sheetFormatPr baseColWidth="8" defaultRowHeight="15"/>
  <cols>
    <col width="2.5" customWidth="1" min="1" max="1"/>
    <col width="12" customWidth="1" min="2" max="2"/>
    <col width="22" customWidth="1" min="3" max="3"/>
    <col width="34" customWidth="1" min="4" max="4"/>
    <col width="13" customWidth="1" min="5" max="5"/>
    <col width="9.5" customWidth="1" min="6" max="6"/>
    <col width="12" customWidth="1" min="7" max="7"/>
    <col width="13" customWidth="1" min="8" max="8"/>
    <col width="11" customWidth="1" min="9" max="9"/>
    <col width="7.5" customWidth="1" min="10" max="10"/>
    <col width="3" customWidth="1" min="11" max="11"/>
    <col width="10.5" customWidth="1" min="12" max="12"/>
    <col width="10.5" customWidth="1" min="13" max="13"/>
    <col width="10.5" customWidth="1" min="14" max="14"/>
    <col width="12" customWidth="1" min="15" max="15"/>
  </cols>
  <sheetData>
    <row r="1" ht="30" customHeight="1">
      <c r="A1" s="1" t="inlineStr">
        <is>
          <t>💰 RECETTES</t>
        </is>
      </c>
      <c r="P1" s="2" t="n"/>
    </row>
    <row r="2" ht="16" customHeight="1">
      <c r="A2" s="3" t="inlineStr">
        <is>
          <t>En clair : tout ce que vous facturez à vos clients — la source de votre chiffre d'affaires.</t>
        </is>
      </c>
      <c r="P2" s="2" t="n"/>
    </row>
    <row r="3" ht="26" customHeight="1">
      <c r="A3" s="2" t="n"/>
      <c r="B3" s="53" t="inlineStr">
        <is>
          <t>💡 Une ligne par facture : remplissez les cellules crème (date, client, description, montant HT, taux de TVA, encaissé). Les dix premières lignes sont des exemples à remplacer par vos données.</t>
        </is>
      </c>
      <c r="P3" s="2" t="n"/>
    </row>
    <row r="4">
      <c r="A4" s="2" t="n"/>
      <c r="B4" s="2" t="n"/>
      <c r="C4" s="2" t="n"/>
      <c r="D4" s="2" t="n"/>
      <c r="E4" s="2" t="n"/>
      <c r="F4" s="2" t="n"/>
      <c r="G4" s="2" t="n"/>
      <c r="H4" s="2" t="n"/>
      <c r="I4" s="2" t="n"/>
      <c r="J4" s="2" t="n"/>
      <c r="K4" s="2" t="n"/>
      <c r="L4" s="2" t="n"/>
      <c r="M4" s="2" t="n"/>
      <c r="N4" s="2" t="n"/>
      <c r="O4" s="2" t="n"/>
      <c r="P4" s="2" t="n"/>
    </row>
    <row r="5">
      <c r="A5" s="2" t="n"/>
      <c r="B5" s="41" t="inlineStr">
        <is>
          <t>Synthèse mensuelle</t>
        </is>
      </c>
      <c r="C5" s="41" t="inlineStr">
        <is>
          <t>Janv</t>
        </is>
      </c>
      <c r="D5" s="41" t="inlineStr">
        <is>
          <t>Févr</t>
        </is>
      </c>
      <c r="E5" s="41" t="inlineStr">
        <is>
          <t>Mars</t>
        </is>
      </c>
      <c r="F5" s="41" t="inlineStr">
        <is>
          <t>Avr</t>
        </is>
      </c>
      <c r="G5" s="41" t="inlineStr">
        <is>
          <t>Mai</t>
        </is>
      </c>
      <c r="H5" s="41" t="inlineStr">
        <is>
          <t>Juin</t>
        </is>
      </c>
      <c r="I5" s="41" t="inlineStr">
        <is>
          <t>Juil</t>
        </is>
      </c>
      <c r="J5" s="41" t="inlineStr">
        <is>
          <t>Août</t>
        </is>
      </c>
      <c r="K5" s="41" t="inlineStr">
        <is>
          <t>Sept</t>
        </is>
      </c>
      <c r="L5" s="41" t="inlineStr">
        <is>
          <t>Oct</t>
        </is>
      </c>
      <c r="M5" s="41" t="inlineStr">
        <is>
          <t>Nov</t>
        </is>
      </c>
      <c r="N5" s="41" t="inlineStr">
        <is>
          <t>Déc</t>
        </is>
      </c>
      <c r="O5" s="41" t="inlineStr">
        <is>
          <t>Année</t>
        </is>
      </c>
      <c r="P5" s="2" t="n"/>
    </row>
    <row r="6">
      <c r="A6" s="2" t="n"/>
      <c r="B6" s="81" t="inlineStr">
        <is>
          <t>Facturé HT</t>
        </is>
      </c>
      <c r="C6" s="44">
        <f>SUMIFS($E$10:$E$209,$J$10:$J$209,1)</f>
        <v/>
      </c>
      <c r="D6" s="44">
        <f>SUMIFS($E$10:$E$209,$J$10:$J$209,2)</f>
        <v/>
      </c>
      <c r="E6" s="44">
        <f>SUMIFS($E$10:$E$209,$J$10:$J$209,3)</f>
        <v/>
      </c>
      <c r="F6" s="44">
        <f>SUMIFS($E$10:$E$209,$J$10:$J$209,4)</f>
        <v/>
      </c>
      <c r="G6" s="44">
        <f>SUMIFS($E$10:$E$209,$J$10:$J$209,5)</f>
        <v/>
      </c>
      <c r="H6" s="44">
        <f>SUMIFS($E$10:$E$209,$J$10:$J$209,6)</f>
        <v/>
      </c>
      <c r="I6" s="44">
        <f>SUMIFS($E$10:$E$209,$J$10:$J$209,7)</f>
        <v/>
      </c>
      <c r="J6" s="44">
        <f>SUMIFS($E$10:$E$209,$J$10:$J$209,8)</f>
        <v/>
      </c>
      <c r="K6" s="44">
        <f>SUMIFS($E$10:$E$209,$J$10:$J$209,9)</f>
        <v/>
      </c>
      <c r="L6" s="44">
        <f>SUMIFS($E$10:$E$209,$J$10:$J$209,10)</f>
        <v/>
      </c>
      <c r="M6" s="44">
        <f>SUMIFS($E$10:$E$209,$J$10:$J$209,11)</f>
        <v/>
      </c>
      <c r="N6" s="44">
        <f>SUMIFS($E$10:$E$209,$J$10:$J$209,12)</f>
        <v/>
      </c>
      <c r="O6" s="82">
        <f>SUM(C6:N6)</f>
        <v/>
      </c>
      <c r="P6" s="2" t="n"/>
    </row>
    <row r="7">
      <c r="A7" s="2" t="n"/>
      <c r="B7" s="81" t="inlineStr">
        <is>
          <t>Encaissé TTC</t>
        </is>
      </c>
      <c r="C7" s="44">
        <f>SUMIFS($H$10:$H$209,$J$10:$J$209,1,$I$10:$I$209,"Oui")</f>
        <v/>
      </c>
      <c r="D7" s="44">
        <f>SUMIFS($H$10:$H$209,$J$10:$J$209,2,$I$10:$I$209,"Oui")</f>
        <v/>
      </c>
      <c r="E7" s="44">
        <f>SUMIFS($H$10:$H$209,$J$10:$J$209,3,$I$10:$I$209,"Oui")</f>
        <v/>
      </c>
      <c r="F7" s="44">
        <f>SUMIFS($H$10:$H$209,$J$10:$J$209,4,$I$10:$I$209,"Oui")</f>
        <v/>
      </c>
      <c r="G7" s="44">
        <f>SUMIFS($H$10:$H$209,$J$10:$J$209,5,$I$10:$I$209,"Oui")</f>
        <v/>
      </c>
      <c r="H7" s="44">
        <f>SUMIFS($H$10:$H$209,$J$10:$J$209,6,$I$10:$I$209,"Oui")</f>
        <v/>
      </c>
      <c r="I7" s="44">
        <f>SUMIFS($H$10:$H$209,$J$10:$J$209,7,$I$10:$I$209,"Oui")</f>
        <v/>
      </c>
      <c r="J7" s="44">
        <f>SUMIFS($H$10:$H$209,$J$10:$J$209,8,$I$10:$I$209,"Oui")</f>
        <v/>
      </c>
      <c r="K7" s="44">
        <f>SUMIFS($H$10:$H$209,$J$10:$J$209,9,$I$10:$I$209,"Oui")</f>
        <v/>
      </c>
      <c r="L7" s="44">
        <f>SUMIFS($H$10:$H$209,$J$10:$J$209,10,$I$10:$I$209,"Oui")</f>
        <v/>
      </c>
      <c r="M7" s="44">
        <f>SUMIFS($H$10:$H$209,$J$10:$J$209,11,$I$10:$I$209,"Oui")</f>
        <v/>
      </c>
      <c r="N7" s="44">
        <f>SUMIFS($H$10:$H$209,$J$10:$J$209,12,$I$10:$I$209,"Oui")</f>
        <v/>
      </c>
      <c r="O7" s="82">
        <f>SUM(C7:N7)</f>
        <v/>
      </c>
      <c r="P7" s="2" t="n"/>
    </row>
    <row r="8">
      <c r="A8" s="2" t="n"/>
      <c r="B8" s="2" t="n"/>
      <c r="C8" s="2" t="n"/>
      <c r="D8" s="2" t="n"/>
      <c r="E8" s="2" t="n"/>
      <c r="F8" s="2" t="n"/>
      <c r="G8" s="2" t="n"/>
      <c r="H8" s="2" t="n"/>
      <c r="I8" s="2" t="n"/>
      <c r="J8" s="2" t="n"/>
      <c r="K8" s="2" t="n"/>
      <c r="L8" s="2" t="n"/>
      <c r="M8" s="2" t="n"/>
      <c r="N8" s="2" t="n"/>
      <c r="O8" s="2" t="n"/>
      <c r="P8" s="2" t="n"/>
    </row>
    <row r="9" ht="22" customHeight="1">
      <c r="A9" s="2" t="n"/>
      <c r="B9" s="83" t="inlineStr">
        <is>
          <t>Date</t>
        </is>
      </c>
      <c r="C9" s="83" t="inlineStr">
        <is>
          <t>Client</t>
        </is>
      </c>
      <c r="D9" s="83" t="inlineStr">
        <is>
          <t>Description</t>
        </is>
      </c>
      <c r="E9" s="83" t="inlineStr">
        <is>
          <t>Montant HT</t>
        </is>
      </c>
      <c r="F9" s="83" t="inlineStr">
        <is>
          <t>Taux TVA</t>
        </is>
      </c>
      <c r="G9" s="83" t="inlineStr">
        <is>
          <t>TVA</t>
        </is>
      </c>
      <c r="H9" s="83" t="inlineStr">
        <is>
          <t>Montant TTC</t>
        </is>
      </c>
      <c r="I9" s="83" t="inlineStr">
        <is>
          <t>Encaissé</t>
        </is>
      </c>
      <c r="J9" s="83" t="inlineStr">
        <is>
          <t>Mois</t>
        </is>
      </c>
      <c r="K9" s="2" t="n"/>
      <c r="L9" s="2" t="n"/>
      <c r="M9" s="2" t="n"/>
      <c r="N9" s="2" t="n"/>
      <c r="O9" s="2" t="n"/>
      <c r="P9" s="2" t="n"/>
    </row>
    <row r="10">
      <c r="A10" s="2" t="n"/>
      <c r="B10" s="84" t="n">
        <v>46030</v>
      </c>
      <c r="C10" s="78" t="inlineStr">
        <is>
          <t>Studio Novelli</t>
        </is>
      </c>
      <c r="D10" s="78" t="inlineStr">
        <is>
          <t>Audit organisation &amp; process</t>
        </is>
      </c>
      <c r="E10" s="73" t="n">
        <v>3200</v>
      </c>
      <c r="F10" s="77" t="n">
        <v>0.2</v>
      </c>
      <c r="G10" s="85">
        <f>IF(OR($E10="",$F10=""),"",ROUND($E10*$F10,2))</f>
        <v/>
      </c>
      <c r="H10" s="85">
        <f>IF($E10="","",ROUND($E10*(1+IF($F10="",0,$F10)),2))</f>
        <v/>
      </c>
      <c r="I10" s="69" t="inlineStr">
        <is>
          <t>Oui</t>
        </is>
      </c>
      <c r="J10" s="86">
        <f>IF($B10="","",MONTH($B10))</f>
        <v/>
      </c>
      <c r="K10" s="2" t="n"/>
      <c r="L10" s="2" t="n"/>
      <c r="M10" s="2" t="n"/>
      <c r="N10" s="2" t="n"/>
      <c r="O10" s="2" t="n"/>
      <c r="P10" s="2" t="n"/>
    </row>
    <row r="11">
      <c r="A11" s="2" t="n"/>
      <c r="B11" s="84" t="n">
        <v>46037</v>
      </c>
      <c r="C11" s="78" t="inlineStr">
        <is>
          <t>Boulangerie Martin</t>
        </is>
      </c>
      <c r="D11" s="78" t="inlineStr">
        <is>
          <t>Accompagnement digitalisation</t>
        </is>
      </c>
      <c r="E11" s="73" t="n">
        <v>1450</v>
      </c>
      <c r="F11" s="77" t="n">
        <v>0.2</v>
      </c>
      <c r="G11" s="87">
        <f>IF(OR($E11="",$F11=""),"",ROUND($E11*$F11,2))</f>
        <v/>
      </c>
      <c r="H11" s="87">
        <f>IF($E11="","",ROUND($E11*(1+IF($F11="",0,$F11)),2))</f>
        <v/>
      </c>
      <c r="I11" s="69" t="inlineStr">
        <is>
          <t>Oui</t>
        </is>
      </c>
      <c r="J11" s="88">
        <f>IF($B11="","",MONTH($B11))</f>
        <v/>
      </c>
      <c r="K11" s="2" t="n"/>
      <c r="L11" s="2" t="n"/>
      <c r="M11" s="2" t="n"/>
      <c r="N11" s="2" t="n"/>
      <c r="O11" s="2" t="n"/>
      <c r="P11" s="2" t="n"/>
    </row>
    <row r="12">
      <c r="A12" s="2" t="n"/>
      <c r="B12" s="84" t="n">
        <v>46044</v>
      </c>
      <c r="C12" s="78" t="inlineStr">
        <is>
          <t>Mairie de Beaulieu</t>
        </is>
      </c>
      <c r="D12" s="78" t="inlineStr">
        <is>
          <t>Formation gestion de projet (2 j)</t>
        </is>
      </c>
      <c r="E12" s="73" t="n">
        <v>2400</v>
      </c>
      <c r="F12" s="77" t="n">
        <v>0.2</v>
      </c>
      <c r="G12" s="85">
        <f>IF(OR($E12="",$F12=""),"",ROUND($E12*$F12,2))</f>
        <v/>
      </c>
      <c r="H12" s="85">
        <f>IF($E12="","",ROUND($E12*(1+IF($F12="",0,$F12)),2))</f>
        <v/>
      </c>
      <c r="I12" s="69" t="inlineStr">
        <is>
          <t>Oui</t>
        </is>
      </c>
      <c r="J12" s="86">
        <f>IF($B12="","",MONTH($B12))</f>
        <v/>
      </c>
      <c r="K12" s="2" t="n"/>
      <c r="L12" s="2" t="n"/>
      <c r="M12" s="2" t="n"/>
      <c r="N12" s="2" t="n"/>
      <c r="O12" s="2" t="n"/>
      <c r="P12" s="2" t="n"/>
    </row>
    <row r="13">
      <c r="A13" s="2" t="n"/>
      <c r="B13" s="84" t="n">
        <v>46052</v>
      </c>
      <c r="C13" s="78" t="inlineStr">
        <is>
          <t>Cabinet Ferrand</t>
        </is>
      </c>
      <c r="D13" s="78" t="inlineStr">
        <is>
          <t>Conseil stratégie — forfait janvier</t>
        </is>
      </c>
      <c r="E13" s="73" t="n">
        <v>1800</v>
      </c>
      <c r="F13" s="77" t="n">
        <v>0.2</v>
      </c>
      <c r="G13" s="87">
        <f>IF(OR($E13="",$F13=""),"",ROUND($E13*$F13,2))</f>
        <v/>
      </c>
      <c r="H13" s="87">
        <f>IF($E13="","",ROUND($E13*(1+IF($F13="",0,$F13)),2))</f>
        <v/>
      </c>
      <c r="I13" s="69" t="inlineStr">
        <is>
          <t>Oui</t>
        </is>
      </c>
      <c r="J13" s="88">
        <f>IF($B13="","",MONTH($B13))</f>
        <v/>
      </c>
      <c r="K13" s="2" t="n"/>
      <c r="L13" s="2" t="n"/>
      <c r="M13" s="2" t="n"/>
      <c r="N13" s="2" t="n"/>
      <c r="O13" s="2" t="n"/>
      <c r="P13" s="2" t="n"/>
    </row>
    <row r="14">
      <c r="A14" s="2" t="n"/>
      <c r="B14" s="84" t="n">
        <v>46059</v>
      </c>
      <c r="C14" s="78" t="inlineStr">
        <is>
          <t>Studio Novelli</t>
        </is>
      </c>
      <c r="D14" s="78" t="inlineStr">
        <is>
          <t>Suivi mensuel — février</t>
        </is>
      </c>
      <c r="E14" s="73" t="n">
        <v>950</v>
      </c>
      <c r="F14" s="77" t="n">
        <v>0.2</v>
      </c>
      <c r="G14" s="85">
        <f>IF(OR($E14="",$F14=""),"",ROUND($E14*$F14,2))</f>
        <v/>
      </c>
      <c r="H14" s="85">
        <f>IF($E14="","",ROUND($E14*(1+IF($F14="",0,$F14)),2))</f>
        <v/>
      </c>
      <c r="I14" s="69" t="inlineStr">
        <is>
          <t>Oui</t>
        </is>
      </c>
      <c r="J14" s="86">
        <f>IF($B14="","",MONTH($B14))</f>
        <v/>
      </c>
      <c r="K14" s="2" t="n"/>
      <c r="L14" s="2" t="n"/>
      <c r="M14" s="2" t="n"/>
      <c r="N14" s="2" t="n"/>
      <c r="O14" s="2" t="n"/>
      <c r="P14" s="2" t="n"/>
    </row>
    <row r="15">
      <c r="A15" s="2" t="n"/>
      <c r="B15" s="84" t="n">
        <v>46065</v>
      </c>
      <c r="C15" s="78" t="inlineStr">
        <is>
          <t>Éditions Clairval</t>
        </is>
      </c>
      <c r="D15" s="78" t="inlineStr">
        <is>
          <t>Atelier productivité équipe</t>
        </is>
      </c>
      <c r="E15" s="73" t="n">
        <v>1600</v>
      </c>
      <c r="F15" s="77" t="n">
        <v>0.2</v>
      </c>
      <c r="G15" s="87">
        <f>IF(OR($E15="",$F15=""),"",ROUND($E15*$F15,2))</f>
        <v/>
      </c>
      <c r="H15" s="87">
        <f>IF($E15="","",ROUND($E15*(1+IF($F15="",0,$F15)),2))</f>
        <v/>
      </c>
      <c r="I15" s="69" t="inlineStr">
        <is>
          <t>Oui</t>
        </is>
      </c>
      <c r="J15" s="88">
        <f>IF($B15="","",MONTH($B15))</f>
        <v/>
      </c>
      <c r="K15" s="2" t="n"/>
      <c r="L15" s="2" t="n"/>
      <c r="M15" s="2" t="n"/>
      <c r="N15" s="2" t="n"/>
      <c r="O15" s="2" t="n"/>
      <c r="P15" s="2" t="n"/>
    </row>
    <row r="16">
      <c r="A16" s="2" t="n"/>
      <c r="B16" s="84" t="n">
        <v>46073</v>
      </c>
      <c r="C16" s="78" t="inlineStr">
        <is>
          <t>Boutique Léonie</t>
        </is>
      </c>
      <c r="D16" s="78" t="inlineStr">
        <is>
          <t>Refonte parcours client</t>
        </is>
      </c>
      <c r="E16" s="73" t="n">
        <v>2750</v>
      </c>
      <c r="F16" s="77" t="n">
        <v>0.2</v>
      </c>
      <c r="G16" s="85">
        <f>IF(OR($E16="",$F16=""),"",ROUND($E16*$F16,2))</f>
        <v/>
      </c>
      <c r="H16" s="85">
        <f>IF($E16="","",ROUND($E16*(1+IF($F16="",0,$F16)),2))</f>
        <v/>
      </c>
      <c r="I16" s="69" t="inlineStr">
        <is>
          <t>Non</t>
        </is>
      </c>
      <c r="J16" s="86">
        <f>IF($B16="","",MONTH($B16))</f>
        <v/>
      </c>
      <c r="K16" s="2" t="n"/>
      <c r="L16" s="2" t="n"/>
      <c r="M16" s="2" t="n"/>
      <c r="N16" s="2" t="n"/>
      <c r="O16" s="2" t="n"/>
      <c r="P16" s="2" t="n"/>
    </row>
    <row r="17">
      <c r="A17" s="2" t="n"/>
      <c r="B17" s="84" t="n">
        <v>46080</v>
      </c>
      <c r="C17" s="78" t="inlineStr">
        <is>
          <t>Cabinet Ferrand</t>
        </is>
      </c>
      <c r="D17" s="78" t="inlineStr">
        <is>
          <t>Conseil stratégie — forfait février</t>
        </is>
      </c>
      <c r="E17" s="73" t="n">
        <v>1800</v>
      </c>
      <c r="F17" s="77" t="n">
        <v>0.2</v>
      </c>
      <c r="G17" s="87">
        <f>IF(OR($E17="",$F17=""),"",ROUND($E17*$F17,2))</f>
        <v/>
      </c>
      <c r="H17" s="87">
        <f>IF($E17="","",ROUND($E17*(1+IF($F17="",0,$F17)),2))</f>
        <v/>
      </c>
      <c r="I17" s="69" t="inlineStr">
        <is>
          <t>Oui</t>
        </is>
      </c>
      <c r="J17" s="88">
        <f>IF($B17="","",MONTH($B17))</f>
        <v/>
      </c>
      <c r="K17" s="2" t="n"/>
      <c r="L17" s="2" t="n"/>
      <c r="M17" s="2" t="n"/>
      <c r="N17" s="2" t="n"/>
      <c r="O17" s="2" t="n"/>
      <c r="P17" s="2" t="n"/>
    </row>
    <row r="18">
      <c r="A18" s="2" t="n"/>
      <c r="B18" s="84" t="n">
        <v>46091</v>
      </c>
      <c r="C18" s="78" t="inlineStr">
        <is>
          <t>Groupe Vaillant</t>
        </is>
      </c>
      <c r="D18" s="78" t="inlineStr">
        <is>
          <t>Diagnostic flash + restitution</t>
        </is>
      </c>
      <c r="E18" s="73" t="n">
        <v>3900</v>
      </c>
      <c r="F18" s="77" t="n">
        <v>0.2</v>
      </c>
      <c r="G18" s="85">
        <f>IF(OR($E18="",$F18=""),"",ROUND($E18*$F18,2))</f>
        <v/>
      </c>
      <c r="H18" s="85">
        <f>IF($E18="","",ROUND($E18*(1+IF($F18="",0,$F18)),2))</f>
        <v/>
      </c>
      <c r="I18" s="69" t="inlineStr">
        <is>
          <t>Non</t>
        </is>
      </c>
      <c r="J18" s="86">
        <f>IF($B18="","",MONTH($B18))</f>
        <v/>
      </c>
      <c r="K18" s="2" t="n"/>
      <c r="L18" s="2" t="n"/>
      <c r="M18" s="2" t="n"/>
      <c r="N18" s="2" t="n"/>
      <c r="O18" s="2" t="n"/>
      <c r="P18" s="2" t="n"/>
    </row>
    <row r="19">
      <c r="A19" s="2" t="n"/>
      <c r="B19" s="84" t="n">
        <v>46099</v>
      </c>
      <c r="C19" s="78" t="inlineStr">
        <is>
          <t>Mairie de Beaulieu</t>
        </is>
      </c>
      <c r="D19" s="78" t="inlineStr">
        <is>
          <t>Formation bureautique (1 j)</t>
        </is>
      </c>
      <c r="E19" s="73" t="n">
        <v>1200</v>
      </c>
      <c r="F19" s="77" t="n">
        <v>0.2</v>
      </c>
      <c r="G19" s="87">
        <f>IF(OR($E19="",$F19=""),"",ROUND($E19*$F19,2))</f>
        <v/>
      </c>
      <c r="H19" s="87">
        <f>IF($E19="","",ROUND($E19*(1+IF($F19="",0,$F19)),2))</f>
        <v/>
      </c>
      <c r="I19" s="69" t="inlineStr">
        <is>
          <t>Non</t>
        </is>
      </c>
      <c r="J19" s="88">
        <f>IF($B19="","",MONTH($B19))</f>
        <v/>
      </c>
      <c r="K19" s="2" t="n"/>
      <c r="L19" s="2" t="n"/>
      <c r="M19" s="2" t="n"/>
      <c r="N19" s="2" t="n"/>
      <c r="O19" s="2" t="n"/>
      <c r="P19" s="2" t="n"/>
    </row>
    <row r="20">
      <c r="A20" s="2" t="n"/>
      <c r="B20" s="84" t="n"/>
      <c r="C20" s="78" t="n"/>
      <c r="D20" s="78" t="n"/>
      <c r="E20" s="73" t="n"/>
      <c r="F20" s="77" t="n"/>
      <c r="G20" s="85">
        <f>IF(OR($E20="",$F20=""),"",ROUND($E20*$F20,2))</f>
        <v/>
      </c>
      <c r="H20" s="85">
        <f>IF($E20="","",ROUND($E20*(1+IF($F20="",0,$F20)),2))</f>
        <v/>
      </c>
      <c r="I20" s="69" t="n"/>
      <c r="J20" s="86">
        <f>IF($B20="","",MONTH($B20))</f>
        <v/>
      </c>
      <c r="K20" s="2" t="n"/>
      <c r="L20" s="2" t="n"/>
      <c r="M20" s="2" t="n"/>
      <c r="N20" s="2" t="n"/>
      <c r="O20" s="2" t="n"/>
      <c r="P20" s="2" t="n"/>
    </row>
    <row r="21">
      <c r="A21" s="2" t="n"/>
      <c r="B21" s="84" t="n"/>
      <c r="C21" s="78" t="n"/>
      <c r="D21" s="78" t="n"/>
      <c r="E21" s="73" t="n"/>
      <c r="F21" s="77" t="n"/>
      <c r="G21" s="87">
        <f>IF(OR($E21="",$F21=""),"",ROUND($E21*$F21,2))</f>
        <v/>
      </c>
      <c r="H21" s="87">
        <f>IF($E21="","",ROUND($E21*(1+IF($F21="",0,$F21)),2))</f>
        <v/>
      </c>
      <c r="I21" s="69" t="n"/>
      <c r="J21" s="88">
        <f>IF($B21="","",MONTH($B21))</f>
        <v/>
      </c>
      <c r="K21" s="2" t="n"/>
      <c r="L21" s="2" t="n"/>
      <c r="M21" s="2" t="n"/>
      <c r="N21" s="2" t="n"/>
      <c r="O21" s="2" t="n"/>
      <c r="P21" s="2" t="n"/>
    </row>
    <row r="22">
      <c r="A22" s="2" t="n"/>
      <c r="B22" s="84" t="n"/>
      <c r="C22" s="78" t="n"/>
      <c r="D22" s="78" t="n"/>
      <c r="E22" s="73" t="n"/>
      <c r="F22" s="77" t="n"/>
      <c r="G22" s="85">
        <f>IF(OR($E22="",$F22=""),"",ROUND($E22*$F22,2))</f>
        <v/>
      </c>
      <c r="H22" s="85">
        <f>IF($E22="","",ROUND($E22*(1+IF($F22="",0,$F22)),2))</f>
        <v/>
      </c>
      <c r="I22" s="69" t="n"/>
      <c r="J22" s="86">
        <f>IF($B22="","",MONTH($B22))</f>
        <v/>
      </c>
      <c r="K22" s="2" t="n"/>
      <c r="L22" s="2" t="n"/>
      <c r="M22" s="2" t="n"/>
      <c r="N22" s="2" t="n"/>
      <c r="O22" s="2" t="n"/>
      <c r="P22" s="2" t="n"/>
    </row>
    <row r="23">
      <c r="A23" s="2" t="n"/>
      <c r="B23" s="84" t="n"/>
      <c r="C23" s="78" t="n"/>
      <c r="D23" s="78" t="n"/>
      <c r="E23" s="73" t="n"/>
      <c r="F23" s="77" t="n"/>
      <c r="G23" s="87">
        <f>IF(OR($E23="",$F23=""),"",ROUND($E23*$F23,2))</f>
        <v/>
      </c>
      <c r="H23" s="87">
        <f>IF($E23="","",ROUND($E23*(1+IF($F23="",0,$F23)),2))</f>
        <v/>
      </c>
      <c r="I23" s="69" t="n"/>
      <c r="J23" s="88">
        <f>IF($B23="","",MONTH($B23))</f>
        <v/>
      </c>
      <c r="K23" s="2" t="n"/>
      <c r="L23" s="2" t="n"/>
      <c r="M23" s="2" t="n"/>
      <c r="N23" s="2" t="n"/>
      <c r="O23" s="2" t="n"/>
      <c r="P23" s="2" t="n"/>
    </row>
    <row r="24">
      <c r="A24" s="2" t="n"/>
      <c r="B24" s="84" t="n"/>
      <c r="C24" s="78" t="n"/>
      <c r="D24" s="78" t="n"/>
      <c r="E24" s="73" t="n"/>
      <c r="F24" s="77" t="n"/>
      <c r="G24" s="85">
        <f>IF(OR($E24="",$F24=""),"",ROUND($E24*$F24,2))</f>
        <v/>
      </c>
      <c r="H24" s="85">
        <f>IF($E24="","",ROUND($E24*(1+IF($F24="",0,$F24)),2))</f>
        <v/>
      </c>
      <c r="I24" s="69" t="n"/>
      <c r="J24" s="86">
        <f>IF($B24="","",MONTH($B24))</f>
        <v/>
      </c>
      <c r="K24" s="2" t="n"/>
      <c r="L24" s="2" t="n"/>
      <c r="M24" s="2" t="n"/>
      <c r="N24" s="2" t="n"/>
      <c r="O24" s="2" t="n"/>
      <c r="P24" s="2" t="n"/>
    </row>
    <row r="25">
      <c r="A25" s="2" t="n"/>
      <c r="B25" s="84" t="n"/>
      <c r="C25" s="78" t="n"/>
      <c r="D25" s="78" t="n"/>
      <c r="E25" s="73" t="n"/>
      <c r="F25" s="77" t="n"/>
      <c r="G25" s="87">
        <f>IF(OR($E25="",$F25=""),"",ROUND($E25*$F25,2))</f>
        <v/>
      </c>
      <c r="H25" s="87">
        <f>IF($E25="","",ROUND($E25*(1+IF($F25="",0,$F25)),2))</f>
        <v/>
      </c>
      <c r="I25" s="69" t="n"/>
      <c r="J25" s="88">
        <f>IF($B25="","",MONTH($B25))</f>
        <v/>
      </c>
      <c r="K25" s="2" t="n"/>
      <c r="L25" s="2" t="n"/>
      <c r="M25" s="2" t="n"/>
      <c r="N25" s="2" t="n"/>
      <c r="O25" s="2" t="n"/>
      <c r="P25" s="2" t="n"/>
    </row>
    <row r="26">
      <c r="A26" s="2" t="n"/>
      <c r="B26" s="84" t="n"/>
      <c r="C26" s="78" t="n"/>
      <c r="D26" s="78" t="n"/>
      <c r="E26" s="73" t="n"/>
      <c r="F26" s="77" t="n"/>
      <c r="G26" s="85">
        <f>IF(OR($E26="",$F26=""),"",ROUND($E26*$F26,2))</f>
        <v/>
      </c>
      <c r="H26" s="85">
        <f>IF($E26="","",ROUND($E26*(1+IF($F26="",0,$F26)),2))</f>
        <v/>
      </c>
      <c r="I26" s="69" t="n"/>
      <c r="J26" s="86">
        <f>IF($B26="","",MONTH($B26))</f>
        <v/>
      </c>
      <c r="K26" s="2" t="n"/>
      <c r="L26" s="2" t="n"/>
      <c r="M26" s="2" t="n"/>
      <c r="N26" s="2" t="n"/>
      <c r="O26" s="2" t="n"/>
      <c r="P26" s="2" t="n"/>
    </row>
    <row r="27">
      <c r="A27" s="2" t="n"/>
      <c r="B27" s="84" t="n"/>
      <c r="C27" s="78" t="n"/>
      <c r="D27" s="78" t="n"/>
      <c r="E27" s="73" t="n"/>
      <c r="F27" s="77" t="n"/>
      <c r="G27" s="87">
        <f>IF(OR($E27="",$F27=""),"",ROUND($E27*$F27,2))</f>
        <v/>
      </c>
      <c r="H27" s="87">
        <f>IF($E27="","",ROUND($E27*(1+IF($F27="",0,$F27)),2))</f>
        <v/>
      </c>
      <c r="I27" s="69" t="n"/>
      <c r="J27" s="88">
        <f>IF($B27="","",MONTH($B27))</f>
        <v/>
      </c>
      <c r="K27" s="2" t="n"/>
      <c r="L27" s="2" t="n"/>
      <c r="M27" s="2" t="n"/>
      <c r="N27" s="2" t="n"/>
      <c r="O27" s="2" t="n"/>
      <c r="P27" s="2" t="n"/>
    </row>
    <row r="28">
      <c r="A28" s="2" t="n"/>
      <c r="B28" s="84" t="n"/>
      <c r="C28" s="78" t="n"/>
      <c r="D28" s="78" t="n"/>
      <c r="E28" s="73" t="n"/>
      <c r="F28" s="77" t="n"/>
      <c r="G28" s="85">
        <f>IF(OR($E28="",$F28=""),"",ROUND($E28*$F28,2))</f>
        <v/>
      </c>
      <c r="H28" s="85">
        <f>IF($E28="","",ROUND($E28*(1+IF($F28="",0,$F28)),2))</f>
        <v/>
      </c>
      <c r="I28" s="69" t="n"/>
      <c r="J28" s="86">
        <f>IF($B28="","",MONTH($B28))</f>
        <v/>
      </c>
      <c r="K28" s="2" t="n"/>
      <c r="L28" s="2" t="n"/>
      <c r="M28" s="2" t="n"/>
      <c r="N28" s="2" t="n"/>
      <c r="O28" s="2" t="n"/>
      <c r="P28" s="2" t="n"/>
    </row>
    <row r="29">
      <c r="A29" s="2" t="n"/>
      <c r="B29" s="84" t="n"/>
      <c r="C29" s="78" t="n"/>
      <c r="D29" s="78" t="n"/>
      <c r="E29" s="73" t="n"/>
      <c r="F29" s="77" t="n"/>
      <c r="G29" s="87">
        <f>IF(OR($E29="",$F29=""),"",ROUND($E29*$F29,2))</f>
        <v/>
      </c>
      <c r="H29" s="87">
        <f>IF($E29="","",ROUND($E29*(1+IF($F29="",0,$F29)),2))</f>
        <v/>
      </c>
      <c r="I29" s="69" t="n"/>
      <c r="J29" s="88">
        <f>IF($B29="","",MONTH($B29))</f>
        <v/>
      </c>
      <c r="K29" s="2" t="n"/>
      <c r="L29" s="2" t="n"/>
      <c r="M29" s="2" t="n"/>
      <c r="N29" s="2" t="n"/>
      <c r="O29" s="2" t="n"/>
      <c r="P29" s="2" t="n"/>
    </row>
    <row r="30">
      <c r="A30" s="2" t="n"/>
      <c r="B30" s="84" t="n"/>
      <c r="C30" s="78" t="n"/>
      <c r="D30" s="78" t="n"/>
      <c r="E30" s="73" t="n"/>
      <c r="F30" s="77" t="n"/>
      <c r="G30" s="85">
        <f>IF(OR($E30="",$F30=""),"",ROUND($E30*$F30,2))</f>
        <v/>
      </c>
      <c r="H30" s="85">
        <f>IF($E30="","",ROUND($E30*(1+IF($F30="",0,$F30)),2))</f>
        <v/>
      </c>
      <c r="I30" s="69" t="n"/>
      <c r="J30" s="86">
        <f>IF($B30="","",MONTH($B30))</f>
        <v/>
      </c>
      <c r="K30" s="2" t="n"/>
      <c r="L30" s="2" t="n"/>
      <c r="M30" s="2" t="n"/>
      <c r="N30" s="2" t="n"/>
      <c r="O30" s="2" t="n"/>
      <c r="P30" s="2" t="n"/>
    </row>
    <row r="31">
      <c r="A31" s="2" t="n"/>
      <c r="B31" s="84" t="n"/>
      <c r="C31" s="78" t="n"/>
      <c r="D31" s="78" t="n"/>
      <c r="E31" s="73" t="n"/>
      <c r="F31" s="77" t="n"/>
      <c r="G31" s="87">
        <f>IF(OR($E31="",$F31=""),"",ROUND($E31*$F31,2))</f>
        <v/>
      </c>
      <c r="H31" s="87">
        <f>IF($E31="","",ROUND($E31*(1+IF($F31="",0,$F31)),2))</f>
        <v/>
      </c>
      <c r="I31" s="69" t="n"/>
      <c r="J31" s="88">
        <f>IF($B31="","",MONTH($B31))</f>
        <v/>
      </c>
      <c r="K31" s="2" t="n"/>
      <c r="L31" s="2" t="n"/>
      <c r="M31" s="2" t="n"/>
      <c r="N31" s="2" t="n"/>
      <c r="O31" s="2" t="n"/>
      <c r="P31" s="2" t="n"/>
    </row>
    <row r="32">
      <c r="A32" s="2" t="n"/>
      <c r="B32" s="84" t="n"/>
      <c r="C32" s="78" t="n"/>
      <c r="D32" s="78" t="n"/>
      <c r="E32" s="73" t="n"/>
      <c r="F32" s="77" t="n"/>
      <c r="G32" s="85">
        <f>IF(OR($E32="",$F32=""),"",ROUND($E32*$F32,2))</f>
        <v/>
      </c>
      <c r="H32" s="85">
        <f>IF($E32="","",ROUND($E32*(1+IF($F32="",0,$F32)),2))</f>
        <v/>
      </c>
      <c r="I32" s="69" t="n"/>
      <c r="J32" s="86">
        <f>IF($B32="","",MONTH($B32))</f>
        <v/>
      </c>
      <c r="K32" s="2" t="n"/>
      <c r="L32" s="2" t="n"/>
      <c r="M32" s="2" t="n"/>
      <c r="N32" s="2" t="n"/>
      <c r="O32" s="2" t="n"/>
      <c r="P32" s="2" t="n"/>
    </row>
    <row r="33">
      <c r="A33" s="2" t="n"/>
      <c r="B33" s="84" t="n"/>
      <c r="C33" s="78" t="n"/>
      <c r="D33" s="78" t="n"/>
      <c r="E33" s="73" t="n"/>
      <c r="F33" s="77" t="n"/>
      <c r="G33" s="87">
        <f>IF(OR($E33="",$F33=""),"",ROUND($E33*$F33,2))</f>
        <v/>
      </c>
      <c r="H33" s="87">
        <f>IF($E33="","",ROUND($E33*(1+IF($F33="",0,$F33)),2))</f>
        <v/>
      </c>
      <c r="I33" s="69" t="n"/>
      <c r="J33" s="88">
        <f>IF($B33="","",MONTH($B33))</f>
        <v/>
      </c>
      <c r="K33" s="2" t="n"/>
      <c r="L33" s="2" t="n"/>
      <c r="M33" s="2" t="n"/>
      <c r="N33" s="2" t="n"/>
      <c r="O33" s="2" t="n"/>
      <c r="P33" s="2" t="n"/>
    </row>
    <row r="34">
      <c r="A34" s="2" t="n"/>
      <c r="B34" s="84" t="n"/>
      <c r="C34" s="78" t="n"/>
      <c r="D34" s="78" t="n"/>
      <c r="E34" s="73" t="n"/>
      <c r="F34" s="77" t="n"/>
      <c r="G34" s="85">
        <f>IF(OR($E34="",$F34=""),"",ROUND($E34*$F34,2))</f>
        <v/>
      </c>
      <c r="H34" s="85">
        <f>IF($E34="","",ROUND($E34*(1+IF($F34="",0,$F34)),2))</f>
        <v/>
      </c>
      <c r="I34" s="69" t="n"/>
      <c r="J34" s="86">
        <f>IF($B34="","",MONTH($B34))</f>
        <v/>
      </c>
      <c r="K34" s="2" t="n"/>
      <c r="L34" s="2" t="n"/>
      <c r="M34" s="2" t="n"/>
      <c r="N34" s="2" t="n"/>
      <c r="O34" s="2" t="n"/>
      <c r="P34" s="2" t="n"/>
    </row>
    <row r="35">
      <c r="A35" s="2" t="n"/>
      <c r="B35" s="84" t="n"/>
      <c r="C35" s="78" t="n"/>
      <c r="D35" s="78" t="n"/>
      <c r="E35" s="73" t="n"/>
      <c r="F35" s="77" t="n"/>
      <c r="G35" s="87">
        <f>IF(OR($E35="",$F35=""),"",ROUND($E35*$F35,2))</f>
        <v/>
      </c>
      <c r="H35" s="87">
        <f>IF($E35="","",ROUND($E35*(1+IF($F35="",0,$F35)),2))</f>
        <v/>
      </c>
      <c r="I35" s="69" t="n"/>
      <c r="J35" s="88">
        <f>IF($B35="","",MONTH($B35))</f>
        <v/>
      </c>
      <c r="K35" s="2" t="n"/>
      <c r="L35" s="2" t="n"/>
      <c r="M35" s="2" t="n"/>
      <c r="N35" s="2" t="n"/>
      <c r="O35" s="2" t="n"/>
      <c r="P35" s="2" t="n"/>
    </row>
    <row r="36">
      <c r="A36" s="2" t="n"/>
      <c r="B36" s="84" t="n"/>
      <c r="C36" s="78" t="n"/>
      <c r="D36" s="78" t="n"/>
      <c r="E36" s="73" t="n"/>
      <c r="F36" s="77" t="n"/>
      <c r="G36" s="85">
        <f>IF(OR($E36="",$F36=""),"",ROUND($E36*$F36,2))</f>
        <v/>
      </c>
      <c r="H36" s="85">
        <f>IF($E36="","",ROUND($E36*(1+IF($F36="",0,$F36)),2))</f>
        <v/>
      </c>
      <c r="I36" s="69" t="n"/>
      <c r="J36" s="86">
        <f>IF($B36="","",MONTH($B36))</f>
        <v/>
      </c>
      <c r="K36" s="2" t="n"/>
      <c r="L36" s="2" t="n"/>
      <c r="M36" s="2" t="n"/>
      <c r="N36" s="2" t="n"/>
      <c r="O36" s="2" t="n"/>
      <c r="P36" s="2" t="n"/>
    </row>
    <row r="37">
      <c r="A37" s="2" t="n"/>
      <c r="B37" s="84" t="n"/>
      <c r="C37" s="78" t="n"/>
      <c r="D37" s="78" t="n"/>
      <c r="E37" s="73" t="n"/>
      <c r="F37" s="77" t="n"/>
      <c r="G37" s="87">
        <f>IF(OR($E37="",$F37=""),"",ROUND($E37*$F37,2))</f>
        <v/>
      </c>
      <c r="H37" s="87">
        <f>IF($E37="","",ROUND($E37*(1+IF($F37="",0,$F37)),2))</f>
        <v/>
      </c>
      <c r="I37" s="69" t="n"/>
      <c r="J37" s="88">
        <f>IF($B37="","",MONTH($B37))</f>
        <v/>
      </c>
      <c r="K37" s="2" t="n"/>
      <c r="L37" s="2" t="n"/>
      <c r="M37" s="2" t="n"/>
      <c r="N37" s="2" t="n"/>
      <c r="O37" s="2" t="n"/>
      <c r="P37" s="2" t="n"/>
    </row>
    <row r="38">
      <c r="A38" s="2" t="n"/>
      <c r="B38" s="84" t="n"/>
      <c r="C38" s="78" t="n"/>
      <c r="D38" s="78" t="n"/>
      <c r="E38" s="73" t="n"/>
      <c r="F38" s="77" t="n"/>
      <c r="G38" s="85">
        <f>IF(OR($E38="",$F38=""),"",ROUND($E38*$F38,2))</f>
        <v/>
      </c>
      <c r="H38" s="85">
        <f>IF($E38="","",ROUND($E38*(1+IF($F38="",0,$F38)),2))</f>
        <v/>
      </c>
      <c r="I38" s="69" t="n"/>
      <c r="J38" s="86">
        <f>IF($B38="","",MONTH($B38))</f>
        <v/>
      </c>
      <c r="K38" s="2" t="n"/>
      <c r="L38" s="2" t="n"/>
      <c r="M38" s="2" t="n"/>
      <c r="N38" s="2" t="n"/>
      <c r="O38" s="2" t="n"/>
      <c r="P38" s="2" t="n"/>
    </row>
    <row r="39">
      <c r="A39" s="2" t="n"/>
      <c r="B39" s="84" t="n"/>
      <c r="C39" s="78" t="n"/>
      <c r="D39" s="78" t="n"/>
      <c r="E39" s="73" t="n"/>
      <c r="F39" s="77" t="n"/>
      <c r="G39" s="87">
        <f>IF(OR($E39="",$F39=""),"",ROUND($E39*$F39,2))</f>
        <v/>
      </c>
      <c r="H39" s="87">
        <f>IF($E39="","",ROUND($E39*(1+IF($F39="",0,$F39)),2))</f>
        <v/>
      </c>
      <c r="I39" s="69" t="n"/>
      <c r="J39" s="88">
        <f>IF($B39="","",MONTH($B39))</f>
        <v/>
      </c>
      <c r="K39" s="2" t="n"/>
      <c r="L39" s="2" t="n"/>
      <c r="M39" s="2" t="n"/>
      <c r="N39" s="2" t="n"/>
      <c r="O39" s="2" t="n"/>
      <c r="P39" s="2" t="n"/>
    </row>
    <row r="40">
      <c r="A40" s="2" t="n"/>
      <c r="B40" s="84" t="n"/>
      <c r="C40" s="78" t="n"/>
      <c r="D40" s="78" t="n"/>
      <c r="E40" s="73" t="n"/>
      <c r="F40" s="77" t="n"/>
      <c r="G40" s="85">
        <f>IF(OR($E40="",$F40=""),"",ROUND($E40*$F40,2))</f>
        <v/>
      </c>
      <c r="H40" s="85">
        <f>IF($E40="","",ROUND($E40*(1+IF($F40="",0,$F40)),2))</f>
        <v/>
      </c>
      <c r="I40" s="69" t="n"/>
      <c r="J40" s="86">
        <f>IF($B40="","",MONTH($B40))</f>
        <v/>
      </c>
      <c r="K40" s="2" t="n"/>
      <c r="L40" s="2" t="n"/>
      <c r="M40" s="2" t="n"/>
      <c r="N40" s="2" t="n"/>
      <c r="O40" s="2" t="n"/>
      <c r="P40" s="2" t="n"/>
    </row>
    <row r="41">
      <c r="A41" s="2" t="n"/>
      <c r="B41" s="84" t="n"/>
      <c r="C41" s="78" t="n"/>
      <c r="D41" s="78" t="n"/>
      <c r="E41" s="73" t="n"/>
      <c r="F41" s="77" t="n"/>
      <c r="G41" s="87">
        <f>IF(OR($E41="",$F41=""),"",ROUND($E41*$F41,2))</f>
        <v/>
      </c>
      <c r="H41" s="87">
        <f>IF($E41="","",ROUND($E41*(1+IF($F41="",0,$F41)),2))</f>
        <v/>
      </c>
      <c r="I41" s="69" t="n"/>
      <c r="J41" s="88">
        <f>IF($B41="","",MONTH($B41))</f>
        <v/>
      </c>
      <c r="K41" s="2" t="n"/>
      <c r="L41" s="2" t="n"/>
      <c r="M41" s="2" t="n"/>
      <c r="N41" s="2" t="n"/>
      <c r="O41" s="2" t="n"/>
      <c r="P41" s="2" t="n"/>
    </row>
    <row r="42">
      <c r="A42" s="2" t="n"/>
      <c r="B42" s="84" t="n"/>
      <c r="C42" s="78" t="n"/>
      <c r="D42" s="78" t="n"/>
      <c r="E42" s="73" t="n"/>
      <c r="F42" s="77" t="n"/>
      <c r="G42" s="85">
        <f>IF(OR($E42="",$F42=""),"",ROUND($E42*$F42,2))</f>
        <v/>
      </c>
      <c r="H42" s="85">
        <f>IF($E42="","",ROUND($E42*(1+IF($F42="",0,$F42)),2))</f>
        <v/>
      </c>
      <c r="I42" s="69" t="n"/>
      <c r="J42" s="86">
        <f>IF($B42="","",MONTH($B42))</f>
        <v/>
      </c>
      <c r="K42" s="2" t="n"/>
      <c r="L42" s="2" t="n"/>
      <c r="M42" s="2" t="n"/>
      <c r="N42" s="2" t="n"/>
      <c r="O42" s="2" t="n"/>
      <c r="P42" s="2" t="n"/>
    </row>
    <row r="43">
      <c r="A43" s="2" t="n"/>
      <c r="B43" s="84" t="n"/>
      <c r="C43" s="78" t="n"/>
      <c r="D43" s="78" t="n"/>
      <c r="E43" s="73" t="n"/>
      <c r="F43" s="77" t="n"/>
      <c r="G43" s="87">
        <f>IF(OR($E43="",$F43=""),"",ROUND($E43*$F43,2))</f>
        <v/>
      </c>
      <c r="H43" s="87">
        <f>IF($E43="","",ROUND($E43*(1+IF($F43="",0,$F43)),2))</f>
        <v/>
      </c>
      <c r="I43" s="69" t="n"/>
      <c r="J43" s="88">
        <f>IF($B43="","",MONTH($B43))</f>
        <v/>
      </c>
      <c r="K43" s="2" t="n"/>
      <c r="L43" s="2" t="n"/>
      <c r="M43" s="2" t="n"/>
      <c r="N43" s="2" t="n"/>
      <c r="O43" s="2" t="n"/>
      <c r="P43" s="2" t="n"/>
    </row>
    <row r="44">
      <c r="A44" s="2" t="n"/>
      <c r="B44" s="84" t="n"/>
      <c r="C44" s="78" t="n"/>
      <c r="D44" s="78" t="n"/>
      <c r="E44" s="73" t="n"/>
      <c r="F44" s="77" t="n"/>
      <c r="G44" s="85">
        <f>IF(OR($E44="",$F44=""),"",ROUND($E44*$F44,2))</f>
        <v/>
      </c>
      <c r="H44" s="85">
        <f>IF($E44="","",ROUND($E44*(1+IF($F44="",0,$F44)),2))</f>
        <v/>
      </c>
      <c r="I44" s="69" t="n"/>
      <c r="J44" s="86">
        <f>IF($B44="","",MONTH($B44))</f>
        <v/>
      </c>
      <c r="K44" s="2" t="n"/>
      <c r="L44" s="2" t="n"/>
      <c r="M44" s="2" t="n"/>
      <c r="N44" s="2" t="n"/>
      <c r="O44" s="2" t="n"/>
      <c r="P44" s="2" t="n"/>
    </row>
    <row r="45">
      <c r="A45" s="2" t="n"/>
      <c r="B45" s="84" t="n"/>
      <c r="C45" s="78" t="n"/>
      <c r="D45" s="78" t="n"/>
      <c r="E45" s="73" t="n"/>
      <c r="F45" s="77" t="n"/>
      <c r="G45" s="87">
        <f>IF(OR($E45="",$F45=""),"",ROUND($E45*$F45,2))</f>
        <v/>
      </c>
      <c r="H45" s="87">
        <f>IF($E45="","",ROUND($E45*(1+IF($F45="",0,$F45)),2))</f>
        <v/>
      </c>
      <c r="I45" s="69" t="n"/>
      <c r="J45" s="88">
        <f>IF($B45="","",MONTH($B45))</f>
        <v/>
      </c>
      <c r="K45" s="2" t="n"/>
      <c r="L45" s="2" t="n"/>
      <c r="M45" s="2" t="n"/>
      <c r="N45" s="2" t="n"/>
      <c r="O45" s="2" t="n"/>
      <c r="P45" s="2" t="n"/>
    </row>
    <row r="46">
      <c r="A46" s="2" t="n"/>
      <c r="B46" s="84" t="n"/>
      <c r="C46" s="78" t="n"/>
      <c r="D46" s="78" t="n"/>
      <c r="E46" s="73" t="n"/>
      <c r="F46" s="77" t="n"/>
      <c r="G46" s="85">
        <f>IF(OR($E46="",$F46=""),"",ROUND($E46*$F46,2))</f>
        <v/>
      </c>
      <c r="H46" s="85">
        <f>IF($E46="","",ROUND($E46*(1+IF($F46="",0,$F46)),2))</f>
        <v/>
      </c>
      <c r="I46" s="69" t="n"/>
      <c r="J46" s="86">
        <f>IF($B46="","",MONTH($B46))</f>
        <v/>
      </c>
      <c r="K46" s="2" t="n"/>
      <c r="L46" s="2" t="n"/>
      <c r="M46" s="2" t="n"/>
      <c r="N46" s="2" t="n"/>
      <c r="O46" s="2" t="n"/>
      <c r="P46" s="2" t="n"/>
    </row>
    <row r="47">
      <c r="A47" s="2" t="n"/>
      <c r="B47" s="84" t="n"/>
      <c r="C47" s="78" t="n"/>
      <c r="D47" s="78" t="n"/>
      <c r="E47" s="73" t="n"/>
      <c r="F47" s="77" t="n"/>
      <c r="G47" s="87">
        <f>IF(OR($E47="",$F47=""),"",ROUND($E47*$F47,2))</f>
        <v/>
      </c>
      <c r="H47" s="87">
        <f>IF($E47="","",ROUND($E47*(1+IF($F47="",0,$F47)),2))</f>
        <v/>
      </c>
      <c r="I47" s="69" t="n"/>
      <c r="J47" s="88">
        <f>IF($B47="","",MONTH($B47))</f>
        <v/>
      </c>
      <c r="K47" s="2" t="n"/>
      <c r="L47" s="2" t="n"/>
      <c r="M47" s="2" t="n"/>
      <c r="N47" s="2" t="n"/>
      <c r="O47" s="2" t="n"/>
      <c r="P47" s="2" t="n"/>
    </row>
    <row r="48">
      <c r="A48" s="2" t="n"/>
      <c r="B48" s="84" t="n"/>
      <c r="C48" s="78" t="n"/>
      <c r="D48" s="78" t="n"/>
      <c r="E48" s="73" t="n"/>
      <c r="F48" s="77" t="n"/>
      <c r="G48" s="85">
        <f>IF(OR($E48="",$F48=""),"",ROUND($E48*$F48,2))</f>
        <v/>
      </c>
      <c r="H48" s="85">
        <f>IF($E48="","",ROUND($E48*(1+IF($F48="",0,$F48)),2))</f>
        <v/>
      </c>
      <c r="I48" s="69" t="n"/>
      <c r="J48" s="86">
        <f>IF($B48="","",MONTH($B48))</f>
        <v/>
      </c>
      <c r="K48" s="2" t="n"/>
      <c r="L48" s="2" t="n"/>
      <c r="M48" s="2" t="n"/>
      <c r="N48" s="2" t="n"/>
      <c r="O48" s="2" t="n"/>
      <c r="P48" s="2" t="n"/>
    </row>
    <row r="49">
      <c r="A49" s="2" t="n"/>
      <c r="B49" s="84" t="n"/>
      <c r="C49" s="78" t="n"/>
      <c r="D49" s="78" t="n"/>
      <c r="E49" s="73" t="n"/>
      <c r="F49" s="77" t="n"/>
      <c r="G49" s="87">
        <f>IF(OR($E49="",$F49=""),"",ROUND($E49*$F49,2))</f>
        <v/>
      </c>
      <c r="H49" s="87">
        <f>IF($E49="","",ROUND($E49*(1+IF($F49="",0,$F49)),2))</f>
        <v/>
      </c>
      <c r="I49" s="69" t="n"/>
      <c r="J49" s="88">
        <f>IF($B49="","",MONTH($B49))</f>
        <v/>
      </c>
      <c r="K49" s="2" t="n"/>
      <c r="L49" s="2" t="n"/>
      <c r="M49" s="2" t="n"/>
      <c r="N49" s="2" t="n"/>
      <c r="O49" s="2" t="n"/>
      <c r="P49" s="2" t="n"/>
    </row>
    <row r="50">
      <c r="A50" s="2" t="n"/>
      <c r="B50" s="84" t="n"/>
      <c r="C50" s="78" t="n"/>
      <c r="D50" s="78" t="n"/>
      <c r="E50" s="73" t="n"/>
      <c r="F50" s="77" t="n"/>
      <c r="G50" s="85">
        <f>IF(OR($E50="",$F50=""),"",ROUND($E50*$F50,2))</f>
        <v/>
      </c>
      <c r="H50" s="85">
        <f>IF($E50="","",ROUND($E50*(1+IF($F50="",0,$F50)),2))</f>
        <v/>
      </c>
      <c r="I50" s="69" t="n"/>
      <c r="J50" s="86">
        <f>IF($B50="","",MONTH($B50))</f>
        <v/>
      </c>
      <c r="K50" s="2" t="n"/>
      <c r="L50" s="2" t="n"/>
      <c r="M50" s="2" t="n"/>
      <c r="N50" s="2" t="n"/>
      <c r="O50" s="2" t="n"/>
      <c r="P50" s="2" t="n"/>
    </row>
    <row r="51">
      <c r="A51" s="2" t="n"/>
      <c r="B51" s="84" t="n"/>
      <c r="C51" s="78" t="n"/>
      <c r="D51" s="78" t="n"/>
      <c r="E51" s="73" t="n"/>
      <c r="F51" s="77" t="n"/>
      <c r="G51" s="87">
        <f>IF(OR($E51="",$F51=""),"",ROUND($E51*$F51,2))</f>
        <v/>
      </c>
      <c r="H51" s="87">
        <f>IF($E51="","",ROUND($E51*(1+IF($F51="",0,$F51)),2))</f>
        <v/>
      </c>
      <c r="I51" s="69" t="n"/>
      <c r="J51" s="88">
        <f>IF($B51="","",MONTH($B51))</f>
        <v/>
      </c>
      <c r="K51" s="2" t="n"/>
      <c r="L51" s="2" t="n"/>
      <c r="M51" s="2" t="n"/>
      <c r="N51" s="2" t="n"/>
      <c r="O51" s="2" t="n"/>
      <c r="P51" s="2" t="n"/>
    </row>
    <row r="52">
      <c r="A52" s="2" t="n"/>
      <c r="B52" s="84" t="n"/>
      <c r="C52" s="78" t="n"/>
      <c r="D52" s="78" t="n"/>
      <c r="E52" s="73" t="n"/>
      <c r="F52" s="77" t="n"/>
      <c r="G52" s="85">
        <f>IF(OR($E52="",$F52=""),"",ROUND($E52*$F52,2))</f>
        <v/>
      </c>
      <c r="H52" s="85">
        <f>IF($E52="","",ROUND($E52*(1+IF($F52="",0,$F52)),2))</f>
        <v/>
      </c>
      <c r="I52" s="69" t="n"/>
      <c r="J52" s="86">
        <f>IF($B52="","",MONTH($B52))</f>
        <v/>
      </c>
      <c r="K52" s="2" t="n"/>
      <c r="L52" s="2" t="n"/>
      <c r="M52" s="2" t="n"/>
      <c r="N52" s="2" t="n"/>
      <c r="O52" s="2" t="n"/>
      <c r="P52" s="2" t="n"/>
    </row>
    <row r="53">
      <c r="A53" s="2" t="n"/>
      <c r="B53" s="84" t="n"/>
      <c r="C53" s="78" t="n"/>
      <c r="D53" s="78" t="n"/>
      <c r="E53" s="73" t="n"/>
      <c r="F53" s="77" t="n"/>
      <c r="G53" s="87">
        <f>IF(OR($E53="",$F53=""),"",ROUND($E53*$F53,2))</f>
        <v/>
      </c>
      <c r="H53" s="87">
        <f>IF($E53="","",ROUND($E53*(1+IF($F53="",0,$F53)),2))</f>
        <v/>
      </c>
      <c r="I53" s="69" t="n"/>
      <c r="J53" s="88">
        <f>IF($B53="","",MONTH($B53))</f>
        <v/>
      </c>
      <c r="K53" s="2" t="n"/>
      <c r="L53" s="2" t="n"/>
      <c r="M53" s="2" t="n"/>
      <c r="N53" s="2" t="n"/>
      <c r="O53" s="2" t="n"/>
      <c r="P53" s="2" t="n"/>
    </row>
    <row r="54">
      <c r="A54" s="2" t="n"/>
      <c r="B54" s="84" t="n"/>
      <c r="C54" s="78" t="n"/>
      <c r="D54" s="78" t="n"/>
      <c r="E54" s="73" t="n"/>
      <c r="F54" s="77" t="n"/>
      <c r="G54" s="85">
        <f>IF(OR($E54="",$F54=""),"",ROUND($E54*$F54,2))</f>
        <v/>
      </c>
      <c r="H54" s="85">
        <f>IF($E54="","",ROUND($E54*(1+IF($F54="",0,$F54)),2))</f>
        <v/>
      </c>
      <c r="I54" s="69" t="n"/>
      <c r="J54" s="86">
        <f>IF($B54="","",MONTH($B54))</f>
        <v/>
      </c>
      <c r="K54" s="2" t="n"/>
      <c r="L54" s="2" t="n"/>
      <c r="M54" s="2" t="n"/>
      <c r="N54" s="2" t="n"/>
      <c r="O54" s="2" t="n"/>
      <c r="P54" s="2" t="n"/>
    </row>
    <row r="55">
      <c r="A55" s="2" t="n"/>
      <c r="B55" s="84" t="n"/>
      <c r="C55" s="78" t="n"/>
      <c r="D55" s="78" t="n"/>
      <c r="E55" s="73" t="n"/>
      <c r="F55" s="77" t="n"/>
      <c r="G55" s="87">
        <f>IF(OR($E55="",$F55=""),"",ROUND($E55*$F55,2))</f>
        <v/>
      </c>
      <c r="H55" s="87">
        <f>IF($E55="","",ROUND($E55*(1+IF($F55="",0,$F55)),2))</f>
        <v/>
      </c>
      <c r="I55" s="69" t="n"/>
      <c r="J55" s="88">
        <f>IF($B55="","",MONTH($B55))</f>
        <v/>
      </c>
      <c r="K55" s="2" t="n"/>
      <c r="L55" s="2" t="n"/>
      <c r="M55" s="2" t="n"/>
      <c r="N55" s="2" t="n"/>
      <c r="O55" s="2" t="n"/>
      <c r="P55" s="2" t="n"/>
    </row>
    <row r="56">
      <c r="A56" s="2" t="n"/>
      <c r="B56" s="84" t="n"/>
      <c r="C56" s="78" t="n"/>
      <c r="D56" s="78" t="n"/>
      <c r="E56" s="73" t="n"/>
      <c r="F56" s="77" t="n"/>
      <c r="G56" s="85">
        <f>IF(OR($E56="",$F56=""),"",ROUND($E56*$F56,2))</f>
        <v/>
      </c>
      <c r="H56" s="85">
        <f>IF($E56="","",ROUND($E56*(1+IF($F56="",0,$F56)),2))</f>
        <v/>
      </c>
      <c r="I56" s="69" t="n"/>
      <c r="J56" s="86">
        <f>IF($B56="","",MONTH($B56))</f>
        <v/>
      </c>
      <c r="K56" s="2" t="n"/>
      <c r="L56" s="2" t="n"/>
      <c r="M56" s="2" t="n"/>
      <c r="N56" s="2" t="n"/>
      <c r="O56" s="2" t="n"/>
      <c r="P56" s="2" t="n"/>
    </row>
    <row r="57">
      <c r="A57" s="2" t="n"/>
      <c r="B57" s="84" t="n"/>
      <c r="C57" s="78" t="n"/>
      <c r="D57" s="78" t="n"/>
      <c r="E57" s="73" t="n"/>
      <c r="F57" s="77" t="n"/>
      <c r="G57" s="87">
        <f>IF(OR($E57="",$F57=""),"",ROUND($E57*$F57,2))</f>
        <v/>
      </c>
      <c r="H57" s="87">
        <f>IF($E57="","",ROUND($E57*(1+IF($F57="",0,$F57)),2))</f>
        <v/>
      </c>
      <c r="I57" s="69" t="n"/>
      <c r="J57" s="88">
        <f>IF($B57="","",MONTH($B57))</f>
        <v/>
      </c>
      <c r="K57" s="2" t="n"/>
      <c r="L57" s="2" t="n"/>
      <c r="M57" s="2" t="n"/>
      <c r="N57" s="2" t="n"/>
      <c r="O57" s="2" t="n"/>
      <c r="P57" s="2" t="n"/>
    </row>
    <row r="58">
      <c r="A58" s="2" t="n"/>
      <c r="B58" s="84" t="n"/>
      <c r="C58" s="78" t="n"/>
      <c r="D58" s="78" t="n"/>
      <c r="E58" s="73" t="n"/>
      <c r="F58" s="77" t="n"/>
      <c r="G58" s="85">
        <f>IF(OR($E58="",$F58=""),"",ROUND($E58*$F58,2))</f>
        <v/>
      </c>
      <c r="H58" s="85">
        <f>IF($E58="","",ROUND($E58*(1+IF($F58="",0,$F58)),2))</f>
        <v/>
      </c>
      <c r="I58" s="69" t="n"/>
      <c r="J58" s="86">
        <f>IF($B58="","",MONTH($B58))</f>
        <v/>
      </c>
      <c r="K58" s="2" t="n"/>
      <c r="L58" s="2" t="n"/>
      <c r="M58" s="2" t="n"/>
      <c r="N58" s="2" t="n"/>
      <c r="O58" s="2" t="n"/>
      <c r="P58" s="2" t="n"/>
    </row>
    <row r="59">
      <c r="A59" s="2" t="n"/>
      <c r="B59" s="84" t="n"/>
      <c r="C59" s="78" t="n"/>
      <c r="D59" s="78" t="n"/>
      <c r="E59" s="73" t="n"/>
      <c r="F59" s="77" t="n"/>
      <c r="G59" s="87">
        <f>IF(OR($E59="",$F59=""),"",ROUND($E59*$F59,2))</f>
        <v/>
      </c>
      <c r="H59" s="87">
        <f>IF($E59="","",ROUND($E59*(1+IF($F59="",0,$F59)),2))</f>
        <v/>
      </c>
      <c r="I59" s="69" t="n"/>
      <c r="J59" s="88">
        <f>IF($B59="","",MONTH($B59))</f>
        <v/>
      </c>
      <c r="K59" s="2" t="n"/>
      <c r="L59" s="2" t="n"/>
      <c r="M59" s="2" t="n"/>
      <c r="N59" s="2" t="n"/>
      <c r="O59" s="2" t="n"/>
      <c r="P59" s="2" t="n"/>
    </row>
    <row r="60">
      <c r="A60" s="2" t="n"/>
      <c r="B60" s="84" t="n"/>
      <c r="C60" s="78" t="n"/>
      <c r="D60" s="78" t="n"/>
      <c r="E60" s="73" t="n"/>
      <c r="F60" s="77" t="n"/>
      <c r="G60" s="85">
        <f>IF(OR($E60="",$F60=""),"",ROUND($E60*$F60,2))</f>
        <v/>
      </c>
      <c r="H60" s="85">
        <f>IF($E60="","",ROUND($E60*(1+IF($F60="",0,$F60)),2))</f>
        <v/>
      </c>
      <c r="I60" s="69" t="n"/>
      <c r="J60" s="86">
        <f>IF($B60="","",MONTH($B60))</f>
        <v/>
      </c>
      <c r="K60" s="2" t="n"/>
      <c r="L60" s="2" t="n"/>
      <c r="M60" s="2" t="n"/>
      <c r="N60" s="2" t="n"/>
      <c r="O60" s="2" t="n"/>
      <c r="P60" s="2" t="n"/>
    </row>
    <row r="61">
      <c r="A61" s="2" t="n"/>
      <c r="B61" s="84" t="n"/>
      <c r="C61" s="78" t="n"/>
      <c r="D61" s="78" t="n"/>
      <c r="E61" s="73" t="n"/>
      <c r="F61" s="77" t="n"/>
      <c r="G61" s="87">
        <f>IF(OR($E61="",$F61=""),"",ROUND($E61*$F61,2))</f>
        <v/>
      </c>
      <c r="H61" s="87">
        <f>IF($E61="","",ROUND($E61*(1+IF($F61="",0,$F61)),2))</f>
        <v/>
      </c>
      <c r="I61" s="69" t="n"/>
      <c r="J61" s="88">
        <f>IF($B61="","",MONTH($B61))</f>
        <v/>
      </c>
      <c r="K61" s="2" t="n"/>
      <c r="L61" s="2" t="n"/>
      <c r="M61" s="2" t="n"/>
      <c r="N61" s="2" t="n"/>
      <c r="O61" s="2" t="n"/>
      <c r="P61" s="2" t="n"/>
    </row>
    <row r="62">
      <c r="A62" s="2" t="n"/>
      <c r="B62" s="84" t="n"/>
      <c r="C62" s="78" t="n"/>
      <c r="D62" s="78" t="n"/>
      <c r="E62" s="73" t="n"/>
      <c r="F62" s="77" t="n"/>
      <c r="G62" s="85">
        <f>IF(OR($E62="",$F62=""),"",ROUND($E62*$F62,2))</f>
        <v/>
      </c>
      <c r="H62" s="85">
        <f>IF($E62="","",ROUND($E62*(1+IF($F62="",0,$F62)),2))</f>
        <v/>
      </c>
      <c r="I62" s="69" t="n"/>
      <c r="J62" s="86">
        <f>IF($B62="","",MONTH($B62))</f>
        <v/>
      </c>
      <c r="K62" s="2" t="n"/>
      <c r="L62" s="2" t="n"/>
      <c r="M62" s="2" t="n"/>
      <c r="N62" s="2" t="n"/>
      <c r="O62" s="2" t="n"/>
      <c r="P62" s="2" t="n"/>
    </row>
    <row r="63">
      <c r="A63" s="2" t="n"/>
      <c r="B63" s="84" t="n"/>
      <c r="C63" s="78" t="n"/>
      <c r="D63" s="78" t="n"/>
      <c r="E63" s="73" t="n"/>
      <c r="F63" s="77" t="n"/>
      <c r="G63" s="87">
        <f>IF(OR($E63="",$F63=""),"",ROUND($E63*$F63,2))</f>
        <v/>
      </c>
      <c r="H63" s="87">
        <f>IF($E63="","",ROUND($E63*(1+IF($F63="",0,$F63)),2))</f>
        <v/>
      </c>
      <c r="I63" s="69" t="n"/>
      <c r="J63" s="88">
        <f>IF($B63="","",MONTH($B63))</f>
        <v/>
      </c>
      <c r="K63" s="2" t="n"/>
      <c r="L63" s="2" t="n"/>
      <c r="M63" s="2" t="n"/>
      <c r="N63" s="2" t="n"/>
      <c r="O63" s="2" t="n"/>
      <c r="P63" s="2" t="n"/>
    </row>
    <row r="64">
      <c r="A64" s="2" t="n"/>
      <c r="B64" s="84" t="n"/>
      <c r="C64" s="78" t="n"/>
      <c r="D64" s="78" t="n"/>
      <c r="E64" s="73" t="n"/>
      <c r="F64" s="77" t="n"/>
      <c r="G64" s="85">
        <f>IF(OR($E64="",$F64=""),"",ROUND($E64*$F64,2))</f>
        <v/>
      </c>
      <c r="H64" s="85">
        <f>IF($E64="","",ROUND($E64*(1+IF($F64="",0,$F64)),2))</f>
        <v/>
      </c>
      <c r="I64" s="69" t="n"/>
      <c r="J64" s="86">
        <f>IF($B64="","",MONTH($B64))</f>
        <v/>
      </c>
      <c r="K64" s="2" t="n"/>
      <c r="L64" s="2" t="n"/>
      <c r="M64" s="2" t="n"/>
      <c r="N64" s="2" t="n"/>
      <c r="O64" s="2" t="n"/>
      <c r="P64" s="2" t="n"/>
    </row>
    <row r="65">
      <c r="A65" s="2" t="n"/>
      <c r="B65" s="84" t="n"/>
      <c r="C65" s="78" t="n"/>
      <c r="D65" s="78" t="n"/>
      <c r="E65" s="73" t="n"/>
      <c r="F65" s="77" t="n"/>
      <c r="G65" s="87">
        <f>IF(OR($E65="",$F65=""),"",ROUND($E65*$F65,2))</f>
        <v/>
      </c>
      <c r="H65" s="87">
        <f>IF($E65="","",ROUND($E65*(1+IF($F65="",0,$F65)),2))</f>
        <v/>
      </c>
      <c r="I65" s="69" t="n"/>
      <c r="J65" s="88">
        <f>IF($B65="","",MONTH($B65))</f>
        <v/>
      </c>
      <c r="K65" s="2" t="n"/>
      <c r="L65" s="2" t="n"/>
      <c r="M65" s="2" t="n"/>
      <c r="N65" s="2" t="n"/>
      <c r="O65" s="2" t="n"/>
      <c r="P65" s="2" t="n"/>
    </row>
    <row r="66">
      <c r="A66" s="2" t="n"/>
      <c r="B66" s="84" t="n"/>
      <c r="C66" s="78" t="n"/>
      <c r="D66" s="78" t="n"/>
      <c r="E66" s="73" t="n"/>
      <c r="F66" s="77" t="n"/>
      <c r="G66" s="85">
        <f>IF(OR($E66="",$F66=""),"",ROUND($E66*$F66,2))</f>
        <v/>
      </c>
      <c r="H66" s="85">
        <f>IF($E66="","",ROUND($E66*(1+IF($F66="",0,$F66)),2))</f>
        <v/>
      </c>
      <c r="I66" s="69" t="n"/>
      <c r="J66" s="86">
        <f>IF($B66="","",MONTH($B66))</f>
        <v/>
      </c>
      <c r="K66" s="2" t="n"/>
      <c r="L66" s="2" t="n"/>
      <c r="M66" s="2" t="n"/>
      <c r="N66" s="2" t="n"/>
      <c r="O66" s="2" t="n"/>
      <c r="P66" s="2" t="n"/>
    </row>
    <row r="67">
      <c r="A67" s="2" t="n"/>
      <c r="B67" s="84" t="n"/>
      <c r="C67" s="78" t="n"/>
      <c r="D67" s="78" t="n"/>
      <c r="E67" s="73" t="n"/>
      <c r="F67" s="77" t="n"/>
      <c r="G67" s="87">
        <f>IF(OR($E67="",$F67=""),"",ROUND($E67*$F67,2))</f>
        <v/>
      </c>
      <c r="H67" s="87">
        <f>IF($E67="","",ROUND($E67*(1+IF($F67="",0,$F67)),2))</f>
        <v/>
      </c>
      <c r="I67" s="69" t="n"/>
      <c r="J67" s="88">
        <f>IF($B67="","",MONTH($B67))</f>
        <v/>
      </c>
      <c r="K67" s="2" t="n"/>
      <c r="L67" s="2" t="n"/>
      <c r="M67" s="2" t="n"/>
      <c r="N67" s="2" t="n"/>
      <c r="O67" s="2" t="n"/>
      <c r="P67" s="2" t="n"/>
    </row>
    <row r="68">
      <c r="A68" s="2" t="n"/>
      <c r="B68" s="84" t="n"/>
      <c r="C68" s="78" t="n"/>
      <c r="D68" s="78" t="n"/>
      <c r="E68" s="73" t="n"/>
      <c r="F68" s="77" t="n"/>
      <c r="G68" s="85">
        <f>IF(OR($E68="",$F68=""),"",ROUND($E68*$F68,2))</f>
        <v/>
      </c>
      <c r="H68" s="85">
        <f>IF($E68="","",ROUND($E68*(1+IF($F68="",0,$F68)),2))</f>
        <v/>
      </c>
      <c r="I68" s="69" t="n"/>
      <c r="J68" s="86">
        <f>IF($B68="","",MONTH($B68))</f>
        <v/>
      </c>
      <c r="K68" s="2" t="n"/>
      <c r="L68" s="2" t="n"/>
      <c r="M68" s="2" t="n"/>
      <c r="N68" s="2" t="n"/>
      <c r="O68" s="2" t="n"/>
      <c r="P68" s="2" t="n"/>
    </row>
    <row r="69">
      <c r="A69" s="2" t="n"/>
      <c r="B69" s="84" t="n"/>
      <c r="C69" s="78" t="n"/>
      <c r="D69" s="78" t="n"/>
      <c r="E69" s="73" t="n"/>
      <c r="F69" s="77" t="n"/>
      <c r="G69" s="87">
        <f>IF(OR($E69="",$F69=""),"",ROUND($E69*$F69,2))</f>
        <v/>
      </c>
      <c r="H69" s="87">
        <f>IF($E69="","",ROUND($E69*(1+IF($F69="",0,$F69)),2))</f>
        <v/>
      </c>
      <c r="I69" s="69" t="n"/>
      <c r="J69" s="88">
        <f>IF($B69="","",MONTH($B69))</f>
        <v/>
      </c>
      <c r="K69" s="2" t="n"/>
      <c r="L69" s="2" t="n"/>
      <c r="M69" s="2" t="n"/>
      <c r="N69" s="2" t="n"/>
      <c r="O69" s="2" t="n"/>
      <c r="P69" s="2" t="n"/>
    </row>
    <row r="70">
      <c r="A70" s="2" t="n"/>
      <c r="B70" s="84" t="n"/>
      <c r="C70" s="78" t="n"/>
      <c r="D70" s="78" t="n"/>
      <c r="E70" s="73" t="n"/>
      <c r="F70" s="77" t="n"/>
      <c r="G70" s="85">
        <f>IF(OR($E70="",$F70=""),"",ROUND($E70*$F70,2))</f>
        <v/>
      </c>
      <c r="H70" s="85">
        <f>IF($E70="","",ROUND($E70*(1+IF($F70="",0,$F70)),2))</f>
        <v/>
      </c>
      <c r="I70" s="69" t="n"/>
      <c r="J70" s="86">
        <f>IF($B70="","",MONTH($B70))</f>
        <v/>
      </c>
      <c r="K70" s="2" t="n"/>
      <c r="L70" s="2" t="n"/>
      <c r="M70" s="2" t="n"/>
      <c r="N70" s="2" t="n"/>
      <c r="O70" s="2" t="n"/>
      <c r="P70" s="2" t="n"/>
    </row>
    <row r="71">
      <c r="A71" s="2" t="n"/>
      <c r="B71" s="84" t="n"/>
      <c r="C71" s="78" t="n"/>
      <c r="D71" s="78" t="n"/>
      <c r="E71" s="73" t="n"/>
      <c r="F71" s="77" t="n"/>
      <c r="G71" s="87">
        <f>IF(OR($E71="",$F71=""),"",ROUND($E71*$F71,2))</f>
        <v/>
      </c>
      <c r="H71" s="87">
        <f>IF($E71="","",ROUND($E71*(1+IF($F71="",0,$F71)),2))</f>
        <v/>
      </c>
      <c r="I71" s="69" t="n"/>
      <c r="J71" s="88">
        <f>IF($B71="","",MONTH($B71))</f>
        <v/>
      </c>
      <c r="K71" s="2" t="n"/>
      <c r="L71" s="2" t="n"/>
      <c r="M71" s="2" t="n"/>
      <c r="N71" s="2" t="n"/>
      <c r="O71" s="2" t="n"/>
      <c r="P71" s="2" t="n"/>
    </row>
    <row r="72">
      <c r="A72" s="2" t="n"/>
      <c r="B72" s="84" t="n"/>
      <c r="C72" s="78" t="n"/>
      <c r="D72" s="78" t="n"/>
      <c r="E72" s="73" t="n"/>
      <c r="F72" s="77" t="n"/>
      <c r="G72" s="85">
        <f>IF(OR($E72="",$F72=""),"",ROUND($E72*$F72,2))</f>
        <v/>
      </c>
      <c r="H72" s="85">
        <f>IF($E72="","",ROUND($E72*(1+IF($F72="",0,$F72)),2))</f>
        <v/>
      </c>
      <c r="I72" s="69" t="n"/>
      <c r="J72" s="86">
        <f>IF($B72="","",MONTH($B72))</f>
        <v/>
      </c>
      <c r="K72" s="2" t="n"/>
      <c r="L72" s="2" t="n"/>
      <c r="M72" s="2" t="n"/>
      <c r="N72" s="2" t="n"/>
      <c r="O72" s="2" t="n"/>
      <c r="P72" s="2" t="n"/>
    </row>
    <row r="73">
      <c r="A73" s="2" t="n"/>
      <c r="B73" s="84" t="n"/>
      <c r="C73" s="78" t="n"/>
      <c r="D73" s="78" t="n"/>
      <c r="E73" s="73" t="n"/>
      <c r="F73" s="77" t="n"/>
      <c r="G73" s="87">
        <f>IF(OR($E73="",$F73=""),"",ROUND($E73*$F73,2))</f>
        <v/>
      </c>
      <c r="H73" s="87">
        <f>IF($E73="","",ROUND($E73*(1+IF($F73="",0,$F73)),2))</f>
        <v/>
      </c>
      <c r="I73" s="69" t="n"/>
      <c r="J73" s="88">
        <f>IF($B73="","",MONTH($B73))</f>
        <v/>
      </c>
      <c r="K73" s="2" t="n"/>
      <c r="L73" s="2" t="n"/>
      <c r="M73" s="2" t="n"/>
      <c r="N73" s="2" t="n"/>
      <c r="O73" s="2" t="n"/>
      <c r="P73" s="2" t="n"/>
    </row>
    <row r="74">
      <c r="A74" s="2" t="n"/>
      <c r="B74" s="84" t="n"/>
      <c r="C74" s="78" t="n"/>
      <c r="D74" s="78" t="n"/>
      <c r="E74" s="73" t="n"/>
      <c r="F74" s="77" t="n"/>
      <c r="G74" s="85">
        <f>IF(OR($E74="",$F74=""),"",ROUND($E74*$F74,2))</f>
        <v/>
      </c>
      <c r="H74" s="85">
        <f>IF($E74="","",ROUND($E74*(1+IF($F74="",0,$F74)),2))</f>
        <v/>
      </c>
      <c r="I74" s="69" t="n"/>
      <c r="J74" s="86">
        <f>IF($B74="","",MONTH($B74))</f>
        <v/>
      </c>
      <c r="K74" s="2" t="n"/>
      <c r="L74" s="2" t="n"/>
      <c r="M74" s="2" t="n"/>
      <c r="N74" s="2" t="n"/>
      <c r="O74" s="2" t="n"/>
      <c r="P74" s="2" t="n"/>
    </row>
    <row r="75">
      <c r="A75" s="2" t="n"/>
      <c r="B75" s="84" t="n"/>
      <c r="C75" s="78" t="n"/>
      <c r="D75" s="78" t="n"/>
      <c r="E75" s="73" t="n"/>
      <c r="F75" s="77" t="n"/>
      <c r="G75" s="87">
        <f>IF(OR($E75="",$F75=""),"",ROUND($E75*$F75,2))</f>
        <v/>
      </c>
      <c r="H75" s="87">
        <f>IF($E75="","",ROUND($E75*(1+IF($F75="",0,$F75)),2))</f>
        <v/>
      </c>
      <c r="I75" s="69" t="n"/>
      <c r="J75" s="88">
        <f>IF($B75="","",MONTH($B75))</f>
        <v/>
      </c>
      <c r="K75" s="2" t="n"/>
      <c r="L75" s="2" t="n"/>
      <c r="M75" s="2" t="n"/>
      <c r="N75" s="2" t="n"/>
      <c r="O75" s="2" t="n"/>
      <c r="P75" s="2" t="n"/>
    </row>
    <row r="76">
      <c r="A76" s="2" t="n"/>
      <c r="B76" s="84" t="n"/>
      <c r="C76" s="78" t="n"/>
      <c r="D76" s="78" t="n"/>
      <c r="E76" s="73" t="n"/>
      <c r="F76" s="77" t="n"/>
      <c r="G76" s="85">
        <f>IF(OR($E76="",$F76=""),"",ROUND($E76*$F76,2))</f>
        <v/>
      </c>
      <c r="H76" s="85">
        <f>IF($E76="","",ROUND($E76*(1+IF($F76="",0,$F76)),2))</f>
        <v/>
      </c>
      <c r="I76" s="69" t="n"/>
      <c r="J76" s="86">
        <f>IF($B76="","",MONTH($B76))</f>
        <v/>
      </c>
      <c r="K76" s="2" t="n"/>
      <c r="L76" s="2" t="n"/>
      <c r="M76" s="2" t="n"/>
      <c r="N76" s="2" t="n"/>
      <c r="O76" s="2" t="n"/>
      <c r="P76" s="2" t="n"/>
    </row>
    <row r="77">
      <c r="A77" s="2" t="n"/>
      <c r="B77" s="84" t="n"/>
      <c r="C77" s="78" t="n"/>
      <c r="D77" s="78" t="n"/>
      <c r="E77" s="73" t="n"/>
      <c r="F77" s="77" t="n"/>
      <c r="G77" s="87">
        <f>IF(OR($E77="",$F77=""),"",ROUND($E77*$F77,2))</f>
        <v/>
      </c>
      <c r="H77" s="87">
        <f>IF($E77="","",ROUND($E77*(1+IF($F77="",0,$F77)),2))</f>
        <v/>
      </c>
      <c r="I77" s="69" t="n"/>
      <c r="J77" s="88">
        <f>IF($B77="","",MONTH($B77))</f>
        <v/>
      </c>
      <c r="K77" s="2" t="n"/>
      <c r="L77" s="2" t="n"/>
      <c r="M77" s="2" t="n"/>
      <c r="N77" s="2" t="n"/>
      <c r="O77" s="2" t="n"/>
      <c r="P77" s="2" t="n"/>
    </row>
    <row r="78">
      <c r="A78" s="2" t="n"/>
      <c r="B78" s="84" t="n"/>
      <c r="C78" s="78" t="n"/>
      <c r="D78" s="78" t="n"/>
      <c r="E78" s="73" t="n"/>
      <c r="F78" s="77" t="n"/>
      <c r="G78" s="85">
        <f>IF(OR($E78="",$F78=""),"",ROUND($E78*$F78,2))</f>
        <v/>
      </c>
      <c r="H78" s="85">
        <f>IF($E78="","",ROUND($E78*(1+IF($F78="",0,$F78)),2))</f>
        <v/>
      </c>
      <c r="I78" s="69" t="n"/>
      <c r="J78" s="86">
        <f>IF($B78="","",MONTH($B78))</f>
        <v/>
      </c>
      <c r="K78" s="2" t="n"/>
      <c r="L78" s="2" t="n"/>
      <c r="M78" s="2" t="n"/>
      <c r="N78" s="2" t="n"/>
      <c r="O78" s="2" t="n"/>
      <c r="P78" s="2" t="n"/>
    </row>
    <row r="79">
      <c r="A79" s="2" t="n"/>
      <c r="B79" s="84" t="n"/>
      <c r="C79" s="78" t="n"/>
      <c r="D79" s="78" t="n"/>
      <c r="E79" s="73" t="n"/>
      <c r="F79" s="77" t="n"/>
      <c r="G79" s="87">
        <f>IF(OR($E79="",$F79=""),"",ROUND($E79*$F79,2))</f>
        <v/>
      </c>
      <c r="H79" s="87">
        <f>IF($E79="","",ROUND($E79*(1+IF($F79="",0,$F79)),2))</f>
        <v/>
      </c>
      <c r="I79" s="69" t="n"/>
      <c r="J79" s="88">
        <f>IF($B79="","",MONTH($B79))</f>
        <v/>
      </c>
      <c r="K79" s="2" t="n"/>
      <c r="L79" s="2" t="n"/>
      <c r="M79" s="2" t="n"/>
      <c r="N79" s="2" t="n"/>
      <c r="O79" s="2" t="n"/>
      <c r="P79" s="2" t="n"/>
    </row>
    <row r="80">
      <c r="A80" s="2" t="n"/>
      <c r="B80" s="84" t="n"/>
      <c r="C80" s="78" t="n"/>
      <c r="D80" s="78" t="n"/>
      <c r="E80" s="73" t="n"/>
      <c r="F80" s="77" t="n"/>
      <c r="G80" s="85">
        <f>IF(OR($E80="",$F80=""),"",ROUND($E80*$F80,2))</f>
        <v/>
      </c>
      <c r="H80" s="85">
        <f>IF($E80="","",ROUND($E80*(1+IF($F80="",0,$F80)),2))</f>
        <v/>
      </c>
      <c r="I80" s="69" t="n"/>
      <c r="J80" s="86">
        <f>IF($B80="","",MONTH($B80))</f>
        <v/>
      </c>
      <c r="K80" s="2" t="n"/>
      <c r="L80" s="2" t="n"/>
      <c r="M80" s="2" t="n"/>
      <c r="N80" s="2" t="n"/>
      <c r="O80" s="2" t="n"/>
      <c r="P80" s="2" t="n"/>
    </row>
    <row r="81">
      <c r="A81" s="2" t="n"/>
      <c r="B81" s="84" t="n"/>
      <c r="C81" s="78" t="n"/>
      <c r="D81" s="78" t="n"/>
      <c r="E81" s="73" t="n"/>
      <c r="F81" s="77" t="n"/>
      <c r="G81" s="87">
        <f>IF(OR($E81="",$F81=""),"",ROUND($E81*$F81,2))</f>
        <v/>
      </c>
      <c r="H81" s="87">
        <f>IF($E81="","",ROUND($E81*(1+IF($F81="",0,$F81)),2))</f>
        <v/>
      </c>
      <c r="I81" s="69" t="n"/>
      <c r="J81" s="88">
        <f>IF($B81="","",MONTH($B81))</f>
        <v/>
      </c>
      <c r="K81" s="2" t="n"/>
      <c r="L81" s="2" t="n"/>
      <c r="M81" s="2" t="n"/>
      <c r="N81" s="2" t="n"/>
      <c r="O81" s="2" t="n"/>
      <c r="P81" s="2" t="n"/>
    </row>
    <row r="82">
      <c r="A82" s="2" t="n"/>
      <c r="B82" s="84" t="n"/>
      <c r="C82" s="78" t="n"/>
      <c r="D82" s="78" t="n"/>
      <c r="E82" s="73" t="n"/>
      <c r="F82" s="77" t="n"/>
      <c r="G82" s="85">
        <f>IF(OR($E82="",$F82=""),"",ROUND($E82*$F82,2))</f>
        <v/>
      </c>
      <c r="H82" s="85">
        <f>IF($E82="","",ROUND($E82*(1+IF($F82="",0,$F82)),2))</f>
        <v/>
      </c>
      <c r="I82" s="69" t="n"/>
      <c r="J82" s="86">
        <f>IF($B82="","",MONTH($B82))</f>
        <v/>
      </c>
      <c r="K82" s="2" t="n"/>
      <c r="L82" s="2" t="n"/>
      <c r="M82" s="2" t="n"/>
      <c r="N82" s="2" t="n"/>
      <c r="O82" s="2" t="n"/>
      <c r="P82" s="2" t="n"/>
    </row>
    <row r="83">
      <c r="A83" s="2" t="n"/>
      <c r="B83" s="84" t="n"/>
      <c r="C83" s="78" t="n"/>
      <c r="D83" s="78" t="n"/>
      <c r="E83" s="73" t="n"/>
      <c r="F83" s="77" t="n"/>
      <c r="G83" s="87">
        <f>IF(OR($E83="",$F83=""),"",ROUND($E83*$F83,2))</f>
        <v/>
      </c>
      <c r="H83" s="87">
        <f>IF($E83="","",ROUND($E83*(1+IF($F83="",0,$F83)),2))</f>
        <v/>
      </c>
      <c r="I83" s="69" t="n"/>
      <c r="J83" s="88">
        <f>IF($B83="","",MONTH($B83))</f>
        <v/>
      </c>
      <c r="K83" s="2" t="n"/>
      <c r="L83" s="2" t="n"/>
      <c r="M83" s="2" t="n"/>
      <c r="N83" s="2" t="n"/>
      <c r="O83" s="2" t="n"/>
      <c r="P83" s="2" t="n"/>
    </row>
    <row r="84">
      <c r="A84" s="2" t="n"/>
      <c r="B84" s="84" t="n"/>
      <c r="C84" s="78" t="n"/>
      <c r="D84" s="78" t="n"/>
      <c r="E84" s="73" t="n"/>
      <c r="F84" s="77" t="n"/>
      <c r="G84" s="85">
        <f>IF(OR($E84="",$F84=""),"",ROUND($E84*$F84,2))</f>
        <v/>
      </c>
      <c r="H84" s="85">
        <f>IF($E84="","",ROUND($E84*(1+IF($F84="",0,$F84)),2))</f>
        <v/>
      </c>
      <c r="I84" s="69" t="n"/>
      <c r="J84" s="86">
        <f>IF($B84="","",MONTH($B84))</f>
        <v/>
      </c>
      <c r="K84" s="2" t="n"/>
      <c r="L84" s="2" t="n"/>
      <c r="M84" s="2" t="n"/>
      <c r="N84" s="2" t="n"/>
      <c r="O84" s="2" t="n"/>
      <c r="P84" s="2" t="n"/>
    </row>
    <row r="85">
      <c r="A85" s="2" t="n"/>
      <c r="B85" s="84" t="n"/>
      <c r="C85" s="78" t="n"/>
      <c r="D85" s="78" t="n"/>
      <c r="E85" s="73" t="n"/>
      <c r="F85" s="77" t="n"/>
      <c r="G85" s="87">
        <f>IF(OR($E85="",$F85=""),"",ROUND($E85*$F85,2))</f>
        <v/>
      </c>
      <c r="H85" s="87">
        <f>IF($E85="","",ROUND($E85*(1+IF($F85="",0,$F85)),2))</f>
        <v/>
      </c>
      <c r="I85" s="69" t="n"/>
      <c r="J85" s="88">
        <f>IF($B85="","",MONTH($B85))</f>
        <v/>
      </c>
      <c r="K85" s="2" t="n"/>
      <c r="L85" s="2" t="n"/>
      <c r="M85" s="2" t="n"/>
      <c r="N85" s="2" t="n"/>
      <c r="O85" s="2" t="n"/>
      <c r="P85" s="2" t="n"/>
    </row>
    <row r="86">
      <c r="A86" s="2" t="n"/>
      <c r="B86" s="84" t="n"/>
      <c r="C86" s="78" t="n"/>
      <c r="D86" s="78" t="n"/>
      <c r="E86" s="73" t="n"/>
      <c r="F86" s="77" t="n"/>
      <c r="G86" s="85">
        <f>IF(OR($E86="",$F86=""),"",ROUND($E86*$F86,2))</f>
        <v/>
      </c>
      <c r="H86" s="85">
        <f>IF($E86="","",ROUND($E86*(1+IF($F86="",0,$F86)),2))</f>
        <v/>
      </c>
      <c r="I86" s="69" t="n"/>
      <c r="J86" s="86">
        <f>IF($B86="","",MONTH($B86))</f>
        <v/>
      </c>
      <c r="K86" s="2" t="n"/>
      <c r="L86" s="2" t="n"/>
      <c r="M86" s="2" t="n"/>
      <c r="N86" s="2" t="n"/>
      <c r="O86" s="2" t="n"/>
      <c r="P86" s="2" t="n"/>
    </row>
    <row r="87">
      <c r="A87" s="2" t="n"/>
      <c r="B87" s="84" t="n"/>
      <c r="C87" s="78" t="n"/>
      <c r="D87" s="78" t="n"/>
      <c r="E87" s="73" t="n"/>
      <c r="F87" s="77" t="n"/>
      <c r="G87" s="87">
        <f>IF(OR($E87="",$F87=""),"",ROUND($E87*$F87,2))</f>
        <v/>
      </c>
      <c r="H87" s="87">
        <f>IF($E87="","",ROUND($E87*(1+IF($F87="",0,$F87)),2))</f>
        <v/>
      </c>
      <c r="I87" s="69" t="n"/>
      <c r="J87" s="88">
        <f>IF($B87="","",MONTH($B87))</f>
        <v/>
      </c>
      <c r="K87" s="2" t="n"/>
      <c r="L87" s="2" t="n"/>
      <c r="M87" s="2" t="n"/>
      <c r="N87" s="2" t="n"/>
      <c r="O87" s="2" t="n"/>
      <c r="P87" s="2" t="n"/>
    </row>
    <row r="88">
      <c r="A88" s="2" t="n"/>
      <c r="B88" s="84" t="n"/>
      <c r="C88" s="78" t="n"/>
      <c r="D88" s="78" t="n"/>
      <c r="E88" s="73" t="n"/>
      <c r="F88" s="77" t="n"/>
      <c r="G88" s="85">
        <f>IF(OR($E88="",$F88=""),"",ROUND($E88*$F88,2))</f>
        <v/>
      </c>
      <c r="H88" s="85">
        <f>IF($E88="","",ROUND($E88*(1+IF($F88="",0,$F88)),2))</f>
        <v/>
      </c>
      <c r="I88" s="69" t="n"/>
      <c r="J88" s="86">
        <f>IF($B88="","",MONTH($B88))</f>
        <v/>
      </c>
      <c r="K88" s="2" t="n"/>
      <c r="L88" s="2" t="n"/>
      <c r="M88" s="2" t="n"/>
      <c r="N88" s="2" t="n"/>
      <c r="O88" s="2" t="n"/>
      <c r="P88" s="2" t="n"/>
    </row>
    <row r="89">
      <c r="A89" s="2" t="n"/>
      <c r="B89" s="84" t="n"/>
      <c r="C89" s="78" t="n"/>
      <c r="D89" s="78" t="n"/>
      <c r="E89" s="73" t="n"/>
      <c r="F89" s="77" t="n"/>
      <c r="G89" s="87">
        <f>IF(OR($E89="",$F89=""),"",ROUND($E89*$F89,2))</f>
        <v/>
      </c>
      <c r="H89" s="87">
        <f>IF($E89="","",ROUND($E89*(1+IF($F89="",0,$F89)),2))</f>
        <v/>
      </c>
      <c r="I89" s="69" t="n"/>
      <c r="J89" s="88">
        <f>IF($B89="","",MONTH($B89))</f>
        <v/>
      </c>
      <c r="K89" s="2" t="n"/>
      <c r="L89" s="2" t="n"/>
      <c r="M89" s="2" t="n"/>
      <c r="N89" s="2" t="n"/>
      <c r="O89" s="2" t="n"/>
      <c r="P89" s="2" t="n"/>
    </row>
    <row r="90">
      <c r="A90" s="2" t="n"/>
      <c r="B90" s="84" t="n"/>
      <c r="C90" s="78" t="n"/>
      <c r="D90" s="78" t="n"/>
      <c r="E90" s="73" t="n"/>
      <c r="F90" s="77" t="n"/>
      <c r="G90" s="85">
        <f>IF(OR($E90="",$F90=""),"",ROUND($E90*$F90,2))</f>
        <v/>
      </c>
      <c r="H90" s="85">
        <f>IF($E90="","",ROUND($E90*(1+IF($F90="",0,$F90)),2))</f>
        <v/>
      </c>
      <c r="I90" s="69" t="n"/>
      <c r="J90" s="86">
        <f>IF($B90="","",MONTH($B90))</f>
        <v/>
      </c>
      <c r="K90" s="2" t="n"/>
      <c r="L90" s="2" t="n"/>
      <c r="M90" s="2" t="n"/>
      <c r="N90" s="2" t="n"/>
      <c r="O90" s="2" t="n"/>
      <c r="P90" s="2" t="n"/>
    </row>
    <row r="91">
      <c r="A91" s="2" t="n"/>
      <c r="B91" s="84" t="n"/>
      <c r="C91" s="78" t="n"/>
      <c r="D91" s="78" t="n"/>
      <c r="E91" s="73" t="n"/>
      <c r="F91" s="77" t="n"/>
      <c r="G91" s="87">
        <f>IF(OR($E91="",$F91=""),"",ROUND($E91*$F91,2))</f>
        <v/>
      </c>
      <c r="H91" s="87">
        <f>IF($E91="","",ROUND($E91*(1+IF($F91="",0,$F91)),2))</f>
        <v/>
      </c>
      <c r="I91" s="69" t="n"/>
      <c r="J91" s="88">
        <f>IF($B91="","",MONTH($B91))</f>
        <v/>
      </c>
      <c r="K91" s="2" t="n"/>
      <c r="L91" s="2" t="n"/>
      <c r="M91" s="2" t="n"/>
      <c r="N91" s="2" t="n"/>
      <c r="O91" s="2" t="n"/>
      <c r="P91" s="2" t="n"/>
    </row>
    <row r="92">
      <c r="A92" s="2" t="n"/>
      <c r="B92" s="84" t="n"/>
      <c r="C92" s="78" t="n"/>
      <c r="D92" s="78" t="n"/>
      <c r="E92" s="73" t="n"/>
      <c r="F92" s="77" t="n"/>
      <c r="G92" s="85">
        <f>IF(OR($E92="",$F92=""),"",ROUND($E92*$F92,2))</f>
        <v/>
      </c>
      <c r="H92" s="85">
        <f>IF($E92="","",ROUND($E92*(1+IF($F92="",0,$F92)),2))</f>
        <v/>
      </c>
      <c r="I92" s="69" t="n"/>
      <c r="J92" s="86">
        <f>IF($B92="","",MONTH($B92))</f>
        <v/>
      </c>
      <c r="K92" s="2" t="n"/>
      <c r="L92" s="2" t="n"/>
      <c r="M92" s="2" t="n"/>
      <c r="N92" s="2" t="n"/>
      <c r="O92" s="2" t="n"/>
      <c r="P92" s="2" t="n"/>
    </row>
    <row r="93">
      <c r="A93" s="2" t="n"/>
      <c r="B93" s="84" t="n"/>
      <c r="C93" s="78" t="n"/>
      <c r="D93" s="78" t="n"/>
      <c r="E93" s="73" t="n"/>
      <c r="F93" s="77" t="n"/>
      <c r="G93" s="87">
        <f>IF(OR($E93="",$F93=""),"",ROUND($E93*$F93,2))</f>
        <v/>
      </c>
      <c r="H93" s="87">
        <f>IF($E93="","",ROUND($E93*(1+IF($F93="",0,$F93)),2))</f>
        <v/>
      </c>
      <c r="I93" s="69" t="n"/>
      <c r="J93" s="88">
        <f>IF($B93="","",MONTH($B93))</f>
        <v/>
      </c>
      <c r="K93" s="2" t="n"/>
      <c r="L93" s="2" t="n"/>
      <c r="M93" s="2" t="n"/>
      <c r="N93" s="2" t="n"/>
      <c r="O93" s="2" t="n"/>
      <c r="P93" s="2" t="n"/>
    </row>
    <row r="94">
      <c r="A94" s="2" t="n"/>
      <c r="B94" s="84" t="n"/>
      <c r="C94" s="78" t="n"/>
      <c r="D94" s="78" t="n"/>
      <c r="E94" s="73" t="n"/>
      <c r="F94" s="77" t="n"/>
      <c r="G94" s="85">
        <f>IF(OR($E94="",$F94=""),"",ROUND($E94*$F94,2))</f>
        <v/>
      </c>
      <c r="H94" s="85">
        <f>IF($E94="","",ROUND($E94*(1+IF($F94="",0,$F94)),2))</f>
        <v/>
      </c>
      <c r="I94" s="69" t="n"/>
      <c r="J94" s="86">
        <f>IF($B94="","",MONTH($B94))</f>
        <v/>
      </c>
      <c r="K94" s="2" t="n"/>
      <c r="L94" s="2" t="n"/>
      <c r="M94" s="2" t="n"/>
      <c r="N94" s="2" t="n"/>
      <c r="O94" s="2" t="n"/>
      <c r="P94" s="2" t="n"/>
    </row>
    <row r="95">
      <c r="A95" s="2" t="n"/>
      <c r="B95" s="84" t="n"/>
      <c r="C95" s="78" t="n"/>
      <c r="D95" s="78" t="n"/>
      <c r="E95" s="73" t="n"/>
      <c r="F95" s="77" t="n"/>
      <c r="G95" s="87">
        <f>IF(OR($E95="",$F95=""),"",ROUND($E95*$F95,2))</f>
        <v/>
      </c>
      <c r="H95" s="87">
        <f>IF($E95="","",ROUND($E95*(1+IF($F95="",0,$F95)),2))</f>
        <v/>
      </c>
      <c r="I95" s="69" t="n"/>
      <c r="J95" s="88">
        <f>IF($B95="","",MONTH($B95))</f>
        <v/>
      </c>
      <c r="K95" s="2" t="n"/>
      <c r="L95" s="2" t="n"/>
      <c r="M95" s="2" t="n"/>
      <c r="N95" s="2" t="n"/>
      <c r="O95" s="2" t="n"/>
      <c r="P95" s="2" t="n"/>
    </row>
    <row r="96">
      <c r="A96" s="2" t="n"/>
      <c r="B96" s="84" t="n"/>
      <c r="C96" s="78" t="n"/>
      <c r="D96" s="78" t="n"/>
      <c r="E96" s="73" t="n"/>
      <c r="F96" s="77" t="n"/>
      <c r="G96" s="85">
        <f>IF(OR($E96="",$F96=""),"",ROUND($E96*$F96,2))</f>
        <v/>
      </c>
      <c r="H96" s="85">
        <f>IF($E96="","",ROUND($E96*(1+IF($F96="",0,$F96)),2))</f>
        <v/>
      </c>
      <c r="I96" s="69" t="n"/>
      <c r="J96" s="86">
        <f>IF($B96="","",MONTH($B96))</f>
        <v/>
      </c>
      <c r="K96" s="2" t="n"/>
      <c r="L96" s="2" t="n"/>
      <c r="M96" s="2" t="n"/>
      <c r="N96" s="2" t="n"/>
      <c r="O96" s="2" t="n"/>
      <c r="P96" s="2" t="n"/>
    </row>
    <row r="97">
      <c r="A97" s="2" t="n"/>
      <c r="B97" s="84" t="n"/>
      <c r="C97" s="78" t="n"/>
      <c r="D97" s="78" t="n"/>
      <c r="E97" s="73" t="n"/>
      <c r="F97" s="77" t="n"/>
      <c r="G97" s="87">
        <f>IF(OR($E97="",$F97=""),"",ROUND($E97*$F97,2))</f>
        <v/>
      </c>
      <c r="H97" s="87">
        <f>IF($E97="","",ROUND($E97*(1+IF($F97="",0,$F97)),2))</f>
        <v/>
      </c>
      <c r="I97" s="69" t="n"/>
      <c r="J97" s="88">
        <f>IF($B97="","",MONTH($B97))</f>
        <v/>
      </c>
      <c r="K97" s="2" t="n"/>
      <c r="L97" s="2" t="n"/>
      <c r="M97" s="2" t="n"/>
      <c r="N97" s="2" t="n"/>
      <c r="O97" s="2" t="n"/>
      <c r="P97" s="2" t="n"/>
    </row>
    <row r="98">
      <c r="A98" s="2" t="n"/>
      <c r="B98" s="84" t="n"/>
      <c r="C98" s="78" t="n"/>
      <c r="D98" s="78" t="n"/>
      <c r="E98" s="73" t="n"/>
      <c r="F98" s="77" t="n"/>
      <c r="G98" s="85">
        <f>IF(OR($E98="",$F98=""),"",ROUND($E98*$F98,2))</f>
        <v/>
      </c>
      <c r="H98" s="85">
        <f>IF($E98="","",ROUND($E98*(1+IF($F98="",0,$F98)),2))</f>
        <v/>
      </c>
      <c r="I98" s="69" t="n"/>
      <c r="J98" s="86">
        <f>IF($B98="","",MONTH($B98))</f>
        <v/>
      </c>
      <c r="K98" s="2" t="n"/>
      <c r="L98" s="2" t="n"/>
      <c r="M98" s="2" t="n"/>
      <c r="N98" s="2" t="n"/>
      <c r="O98" s="2" t="n"/>
      <c r="P98" s="2" t="n"/>
    </row>
    <row r="99">
      <c r="A99" s="2" t="n"/>
      <c r="B99" s="84" t="n"/>
      <c r="C99" s="78" t="n"/>
      <c r="D99" s="78" t="n"/>
      <c r="E99" s="73" t="n"/>
      <c r="F99" s="77" t="n"/>
      <c r="G99" s="87">
        <f>IF(OR($E99="",$F99=""),"",ROUND($E99*$F99,2))</f>
        <v/>
      </c>
      <c r="H99" s="87">
        <f>IF($E99="","",ROUND($E99*(1+IF($F99="",0,$F99)),2))</f>
        <v/>
      </c>
      <c r="I99" s="69" t="n"/>
      <c r="J99" s="88">
        <f>IF($B99="","",MONTH($B99))</f>
        <v/>
      </c>
      <c r="K99" s="2" t="n"/>
      <c r="L99" s="2" t="n"/>
      <c r="M99" s="2" t="n"/>
      <c r="N99" s="2" t="n"/>
      <c r="O99" s="2" t="n"/>
      <c r="P99" s="2" t="n"/>
    </row>
    <row r="100">
      <c r="A100" s="2" t="n"/>
      <c r="B100" s="84" t="n"/>
      <c r="C100" s="78" t="n"/>
      <c r="D100" s="78" t="n"/>
      <c r="E100" s="73" t="n"/>
      <c r="F100" s="77" t="n"/>
      <c r="G100" s="85">
        <f>IF(OR($E100="",$F100=""),"",ROUND($E100*$F100,2))</f>
        <v/>
      </c>
      <c r="H100" s="85">
        <f>IF($E100="","",ROUND($E100*(1+IF($F100="",0,$F100)),2))</f>
        <v/>
      </c>
      <c r="I100" s="69" t="n"/>
      <c r="J100" s="86">
        <f>IF($B100="","",MONTH($B100))</f>
        <v/>
      </c>
      <c r="K100" s="2" t="n"/>
      <c r="L100" s="2" t="n"/>
      <c r="M100" s="2" t="n"/>
      <c r="N100" s="2" t="n"/>
      <c r="O100" s="2" t="n"/>
      <c r="P100" s="2" t="n"/>
    </row>
    <row r="101">
      <c r="A101" s="2" t="n"/>
      <c r="B101" s="84" t="n"/>
      <c r="C101" s="78" t="n"/>
      <c r="D101" s="78" t="n"/>
      <c r="E101" s="73" t="n"/>
      <c r="F101" s="77" t="n"/>
      <c r="G101" s="87">
        <f>IF(OR($E101="",$F101=""),"",ROUND($E101*$F101,2))</f>
        <v/>
      </c>
      <c r="H101" s="87">
        <f>IF($E101="","",ROUND($E101*(1+IF($F101="",0,$F101)),2))</f>
        <v/>
      </c>
      <c r="I101" s="69" t="n"/>
      <c r="J101" s="88">
        <f>IF($B101="","",MONTH($B101))</f>
        <v/>
      </c>
      <c r="K101" s="2" t="n"/>
      <c r="L101" s="2" t="n"/>
      <c r="M101" s="2" t="n"/>
      <c r="N101" s="2" t="n"/>
      <c r="O101" s="2" t="n"/>
      <c r="P101" s="2" t="n"/>
    </row>
    <row r="102">
      <c r="A102" s="2" t="n"/>
      <c r="B102" s="84" t="n"/>
      <c r="C102" s="78" t="n"/>
      <c r="D102" s="78" t="n"/>
      <c r="E102" s="73" t="n"/>
      <c r="F102" s="77" t="n"/>
      <c r="G102" s="85">
        <f>IF(OR($E102="",$F102=""),"",ROUND($E102*$F102,2))</f>
        <v/>
      </c>
      <c r="H102" s="85">
        <f>IF($E102="","",ROUND($E102*(1+IF($F102="",0,$F102)),2))</f>
        <v/>
      </c>
      <c r="I102" s="69" t="n"/>
      <c r="J102" s="86">
        <f>IF($B102="","",MONTH($B102))</f>
        <v/>
      </c>
      <c r="K102" s="2" t="n"/>
      <c r="L102" s="2" t="n"/>
      <c r="M102" s="2" t="n"/>
      <c r="N102" s="2" t="n"/>
      <c r="O102" s="2" t="n"/>
      <c r="P102" s="2" t="n"/>
    </row>
    <row r="103">
      <c r="A103" s="2" t="n"/>
      <c r="B103" s="84" t="n"/>
      <c r="C103" s="78" t="n"/>
      <c r="D103" s="78" t="n"/>
      <c r="E103" s="73" t="n"/>
      <c r="F103" s="77" t="n"/>
      <c r="G103" s="87">
        <f>IF(OR($E103="",$F103=""),"",ROUND($E103*$F103,2))</f>
        <v/>
      </c>
      <c r="H103" s="87">
        <f>IF($E103="","",ROUND($E103*(1+IF($F103="",0,$F103)),2))</f>
        <v/>
      </c>
      <c r="I103" s="69" t="n"/>
      <c r="J103" s="88">
        <f>IF($B103="","",MONTH($B103))</f>
        <v/>
      </c>
      <c r="K103" s="2" t="n"/>
      <c r="L103" s="2" t="n"/>
      <c r="M103" s="2" t="n"/>
      <c r="N103" s="2" t="n"/>
      <c r="O103" s="2" t="n"/>
      <c r="P103" s="2" t="n"/>
    </row>
    <row r="104">
      <c r="A104" s="2" t="n"/>
      <c r="B104" s="84" t="n"/>
      <c r="C104" s="78" t="n"/>
      <c r="D104" s="78" t="n"/>
      <c r="E104" s="73" t="n"/>
      <c r="F104" s="77" t="n"/>
      <c r="G104" s="85">
        <f>IF(OR($E104="",$F104=""),"",ROUND($E104*$F104,2))</f>
        <v/>
      </c>
      <c r="H104" s="85">
        <f>IF($E104="","",ROUND($E104*(1+IF($F104="",0,$F104)),2))</f>
        <v/>
      </c>
      <c r="I104" s="69" t="n"/>
      <c r="J104" s="86">
        <f>IF($B104="","",MONTH($B104))</f>
        <v/>
      </c>
      <c r="K104" s="2" t="n"/>
      <c r="L104" s="2" t="n"/>
      <c r="M104" s="2" t="n"/>
      <c r="N104" s="2" t="n"/>
      <c r="O104" s="2" t="n"/>
      <c r="P104" s="2" t="n"/>
    </row>
    <row r="105">
      <c r="A105" s="2" t="n"/>
      <c r="B105" s="84" t="n"/>
      <c r="C105" s="78" t="n"/>
      <c r="D105" s="78" t="n"/>
      <c r="E105" s="73" t="n"/>
      <c r="F105" s="77" t="n"/>
      <c r="G105" s="87">
        <f>IF(OR($E105="",$F105=""),"",ROUND($E105*$F105,2))</f>
        <v/>
      </c>
      <c r="H105" s="87">
        <f>IF($E105="","",ROUND($E105*(1+IF($F105="",0,$F105)),2))</f>
        <v/>
      </c>
      <c r="I105" s="69" t="n"/>
      <c r="J105" s="88">
        <f>IF($B105="","",MONTH($B105))</f>
        <v/>
      </c>
      <c r="K105" s="2" t="n"/>
      <c r="L105" s="2" t="n"/>
      <c r="M105" s="2" t="n"/>
      <c r="N105" s="2" t="n"/>
      <c r="O105" s="2" t="n"/>
      <c r="P105" s="2" t="n"/>
    </row>
    <row r="106">
      <c r="A106" s="2" t="n"/>
      <c r="B106" s="84" t="n"/>
      <c r="C106" s="78" t="n"/>
      <c r="D106" s="78" t="n"/>
      <c r="E106" s="73" t="n"/>
      <c r="F106" s="77" t="n"/>
      <c r="G106" s="85">
        <f>IF(OR($E106="",$F106=""),"",ROUND($E106*$F106,2))</f>
        <v/>
      </c>
      <c r="H106" s="85">
        <f>IF($E106="","",ROUND($E106*(1+IF($F106="",0,$F106)),2))</f>
        <v/>
      </c>
      <c r="I106" s="69" t="n"/>
      <c r="J106" s="86">
        <f>IF($B106="","",MONTH($B106))</f>
        <v/>
      </c>
      <c r="K106" s="2" t="n"/>
      <c r="L106" s="2" t="n"/>
      <c r="M106" s="2" t="n"/>
      <c r="N106" s="2" t="n"/>
      <c r="O106" s="2" t="n"/>
      <c r="P106" s="2" t="n"/>
    </row>
    <row r="107">
      <c r="A107" s="2" t="n"/>
      <c r="B107" s="84" t="n"/>
      <c r="C107" s="78" t="n"/>
      <c r="D107" s="78" t="n"/>
      <c r="E107" s="73" t="n"/>
      <c r="F107" s="77" t="n"/>
      <c r="G107" s="87">
        <f>IF(OR($E107="",$F107=""),"",ROUND($E107*$F107,2))</f>
        <v/>
      </c>
      <c r="H107" s="87">
        <f>IF($E107="","",ROUND($E107*(1+IF($F107="",0,$F107)),2))</f>
        <v/>
      </c>
      <c r="I107" s="69" t="n"/>
      <c r="J107" s="88">
        <f>IF($B107="","",MONTH($B107))</f>
        <v/>
      </c>
      <c r="K107" s="2" t="n"/>
      <c r="L107" s="2" t="n"/>
      <c r="M107" s="2" t="n"/>
      <c r="N107" s="2" t="n"/>
      <c r="O107" s="2" t="n"/>
      <c r="P107" s="2" t="n"/>
    </row>
    <row r="108">
      <c r="A108" s="2" t="n"/>
      <c r="B108" s="84" t="n"/>
      <c r="C108" s="78" t="n"/>
      <c r="D108" s="78" t="n"/>
      <c r="E108" s="73" t="n"/>
      <c r="F108" s="77" t="n"/>
      <c r="G108" s="85">
        <f>IF(OR($E108="",$F108=""),"",ROUND($E108*$F108,2))</f>
        <v/>
      </c>
      <c r="H108" s="85">
        <f>IF($E108="","",ROUND($E108*(1+IF($F108="",0,$F108)),2))</f>
        <v/>
      </c>
      <c r="I108" s="69" t="n"/>
      <c r="J108" s="86">
        <f>IF($B108="","",MONTH($B108))</f>
        <v/>
      </c>
      <c r="K108" s="2" t="n"/>
      <c r="L108" s="2" t="n"/>
      <c r="M108" s="2" t="n"/>
      <c r="N108" s="2" t="n"/>
      <c r="O108" s="2" t="n"/>
      <c r="P108" s="2" t="n"/>
    </row>
    <row r="109">
      <c r="A109" s="2" t="n"/>
      <c r="B109" s="84" t="n"/>
      <c r="C109" s="78" t="n"/>
      <c r="D109" s="78" t="n"/>
      <c r="E109" s="73" t="n"/>
      <c r="F109" s="77" t="n"/>
      <c r="G109" s="87">
        <f>IF(OR($E109="",$F109=""),"",ROUND($E109*$F109,2))</f>
        <v/>
      </c>
      <c r="H109" s="87">
        <f>IF($E109="","",ROUND($E109*(1+IF($F109="",0,$F109)),2))</f>
        <v/>
      </c>
      <c r="I109" s="69" t="n"/>
      <c r="J109" s="88">
        <f>IF($B109="","",MONTH($B109))</f>
        <v/>
      </c>
      <c r="K109" s="2" t="n"/>
      <c r="L109" s="2" t="n"/>
      <c r="M109" s="2" t="n"/>
      <c r="N109" s="2" t="n"/>
      <c r="O109" s="2" t="n"/>
      <c r="P109" s="2" t="n"/>
    </row>
    <row r="110">
      <c r="A110" s="2" t="n"/>
      <c r="B110" s="84" t="n"/>
      <c r="C110" s="78" t="n"/>
      <c r="D110" s="78" t="n"/>
      <c r="E110" s="73" t="n"/>
      <c r="F110" s="77" t="n"/>
      <c r="G110" s="85">
        <f>IF(OR($E110="",$F110=""),"",ROUND($E110*$F110,2))</f>
        <v/>
      </c>
      <c r="H110" s="85">
        <f>IF($E110="","",ROUND($E110*(1+IF($F110="",0,$F110)),2))</f>
        <v/>
      </c>
      <c r="I110" s="69" t="n"/>
      <c r="J110" s="86">
        <f>IF($B110="","",MONTH($B110))</f>
        <v/>
      </c>
      <c r="K110" s="2" t="n"/>
      <c r="L110" s="2" t="n"/>
      <c r="M110" s="2" t="n"/>
      <c r="N110" s="2" t="n"/>
      <c r="O110" s="2" t="n"/>
      <c r="P110" s="2" t="n"/>
    </row>
    <row r="111">
      <c r="A111" s="2" t="n"/>
      <c r="B111" s="84" t="n"/>
      <c r="C111" s="78" t="n"/>
      <c r="D111" s="78" t="n"/>
      <c r="E111" s="73" t="n"/>
      <c r="F111" s="77" t="n"/>
      <c r="G111" s="87">
        <f>IF(OR($E111="",$F111=""),"",ROUND($E111*$F111,2))</f>
        <v/>
      </c>
      <c r="H111" s="87">
        <f>IF($E111="","",ROUND($E111*(1+IF($F111="",0,$F111)),2))</f>
        <v/>
      </c>
      <c r="I111" s="69" t="n"/>
      <c r="J111" s="88">
        <f>IF($B111="","",MONTH($B111))</f>
        <v/>
      </c>
      <c r="K111" s="2" t="n"/>
      <c r="L111" s="2" t="n"/>
      <c r="M111" s="2" t="n"/>
      <c r="N111" s="2" t="n"/>
      <c r="O111" s="2" t="n"/>
      <c r="P111" s="2" t="n"/>
    </row>
    <row r="112">
      <c r="A112" s="2" t="n"/>
      <c r="B112" s="84" t="n"/>
      <c r="C112" s="78" t="n"/>
      <c r="D112" s="78" t="n"/>
      <c r="E112" s="73" t="n"/>
      <c r="F112" s="77" t="n"/>
      <c r="G112" s="85">
        <f>IF(OR($E112="",$F112=""),"",ROUND($E112*$F112,2))</f>
        <v/>
      </c>
      <c r="H112" s="85">
        <f>IF($E112="","",ROUND($E112*(1+IF($F112="",0,$F112)),2))</f>
        <v/>
      </c>
      <c r="I112" s="69" t="n"/>
      <c r="J112" s="86">
        <f>IF($B112="","",MONTH($B112))</f>
        <v/>
      </c>
      <c r="K112" s="2" t="n"/>
      <c r="L112" s="2" t="n"/>
      <c r="M112" s="2" t="n"/>
      <c r="N112" s="2" t="n"/>
      <c r="O112" s="2" t="n"/>
      <c r="P112" s="2" t="n"/>
    </row>
    <row r="113">
      <c r="A113" s="2" t="n"/>
      <c r="B113" s="84" t="n"/>
      <c r="C113" s="78" t="n"/>
      <c r="D113" s="78" t="n"/>
      <c r="E113" s="73" t="n"/>
      <c r="F113" s="77" t="n"/>
      <c r="G113" s="87">
        <f>IF(OR($E113="",$F113=""),"",ROUND($E113*$F113,2))</f>
        <v/>
      </c>
      <c r="H113" s="87">
        <f>IF($E113="","",ROUND($E113*(1+IF($F113="",0,$F113)),2))</f>
        <v/>
      </c>
      <c r="I113" s="69" t="n"/>
      <c r="J113" s="88">
        <f>IF($B113="","",MONTH($B113))</f>
        <v/>
      </c>
      <c r="K113" s="2" t="n"/>
      <c r="L113" s="2" t="n"/>
      <c r="M113" s="2" t="n"/>
      <c r="N113" s="2" t="n"/>
      <c r="O113" s="2" t="n"/>
      <c r="P113" s="2" t="n"/>
    </row>
    <row r="114">
      <c r="A114" s="2" t="n"/>
      <c r="B114" s="84" t="n"/>
      <c r="C114" s="78" t="n"/>
      <c r="D114" s="78" t="n"/>
      <c r="E114" s="73" t="n"/>
      <c r="F114" s="77" t="n"/>
      <c r="G114" s="85">
        <f>IF(OR($E114="",$F114=""),"",ROUND($E114*$F114,2))</f>
        <v/>
      </c>
      <c r="H114" s="85">
        <f>IF($E114="","",ROUND($E114*(1+IF($F114="",0,$F114)),2))</f>
        <v/>
      </c>
      <c r="I114" s="69" t="n"/>
      <c r="J114" s="86">
        <f>IF($B114="","",MONTH($B114))</f>
        <v/>
      </c>
      <c r="K114" s="2" t="n"/>
      <c r="L114" s="2" t="n"/>
      <c r="M114" s="2" t="n"/>
      <c r="N114" s="2" t="n"/>
      <c r="O114" s="2" t="n"/>
      <c r="P114" s="2" t="n"/>
    </row>
    <row r="115">
      <c r="A115" s="2" t="n"/>
      <c r="B115" s="84" t="n"/>
      <c r="C115" s="78" t="n"/>
      <c r="D115" s="78" t="n"/>
      <c r="E115" s="73" t="n"/>
      <c r="F115" s="77" t="n"/>
      <c r="G115" s="87">
        <f>IF(OR($E115="",$F115=""),"",ROUND($E115*$F115,2))</f>
        <v/>
      </c>
      <c r="H115" s="87">
        <f>IF($E115="","",ROUND($E115*(1+IF($F115="",0,$F115)),2))</f>
        <v/>
      </c>
      <c r="I115" s="69" t="n"/>
      <c r="J115" s="88">
        <f>IF($B115="","",MONTH($B115))</f>
        <v/>
      </c>
      <c r="K115" s="2" t="n"/>
      <c r="L115" s="2" t="n"/>
      <c r="M115" s="2" t="n"/>
      <c r="N115" s="2" t="n"/>
      <c r="O115" s="2" t="n"/>
      <c r="P115" s="2" t="n"/>
    </row>
    <row r="116">
      <c r="A116" s="2" t="n"/>
      <c r="B116" s="84" t="n"/>
      <c r="C116" s="78" t="n"/>
      <c r="D116" s="78" t="n"/>
      <c r="E116" s="73" t="n"/>
      <c r="F116" s="77" t="n"/>
      <c r="G116" s="85">
        <f>IF(OR($E116="",$F116=""),"",ROUND($E116*$F116,2))</f>
        <v/>
      </c>
      <c r="H116" s="85">
        <f>IF($E116="","",ROUND($E116*(1+IF($F116="",0,$F116)),2))</f>
        <v/>
      </c>
      <c r="I116" s="69" t="n"/>
      <c r="J116" s="86">
        <f>IF($B116="","",MONTH($B116))</f>
        <v/>
      </c>
      <c r="K116" s="2" t="n"/>
      <c r="L116" s="2" t="n"/>
      <c r="M116" s="2" t="n"/>
      <c r="N116" s="2" t="n"/>
      <c r="O116" s="2" t="n"/>
      <c r="P116" s="2" t="n"/>
    </row>
    <row r="117">
      <c r="A117" s="2" t="n"/>
      <c r="B117" s="84" t="n"/>
      <c r="C117" s="78" t="n"/>
      <c r="D117" s="78" t="n"/>
      <c r="E117" s="73" t="n"/>
      <c r="F117" s="77" t="n"/>
      <c r="G117" s="87">
        <f>IF(OR($E117="",$F117=""),"",ROUND($E117*$F117,2))</f>
        <v/>
      </c>
      <c r="H117" s="87">
        <f>IF($E117="","",ROUND($E117*(1+IF($F117="",0,$F117)),2))</f>
        <v/>
      </c>
      <c r="I117" s="69" t="n"/>
      <c r="J117" s="88">
        <f>IF($B117="","",MONTH($B117))</f>
        <v/>
      </c>
      <c r="K117" s="2" t="n"/>
      <c r="L117" s="2" t="n"/>
      <c r="M117" s="2" t="n"/>
      <c r="N117" s="2" t="n"/>
      <c r="O117" s="2" t="n"/>
      <c r="P117" s="2" t="n"/>
    </row>
    <row r="118">
      <c r="A118" s="2" t="n"/>
      <c r="B118" s="84" t="n"/>
      <c r="C118" s="78" t="n"/>
      <c r="D118" s="78" t="n"/>
      <c r="E118" s="73" t="n"/>
      <c r="F118" s="77" t="n"/>
      <c r="G118" s="85">
        <f>IF(OR($E118="",$F118=""),"",ROUND($E118*$F118,2))</f>
        <v/>
      </c>
      <c r="H118" s="85">
        <f>IF($E118="","",ROUND($E118*(1+IF($F118="",0,$F118)),2))</f>
        <v/>
      </c>
      <c r="I118" s="69" t="n"/>
      <c r="J118" s="86">
        <f>IF($B118="","",MONTH($B118))</f>
        <v/>
      </c>
      <c r="K118" s="2" t="n"/>
      <c r="L118" s="2" t="n"/>
      <c r="M118" s="2" t="n"/>
      <c r="N118" s="2" t="n"/>
      <c r="O118" s="2" t="n"/>
      <c r="P118" s="2" t="n"/>
    </row>
    <row r="119">
      <c r="A119" s="2" t="n"/>
      <c r="B119" s="84" t="n"/>
      <c r="C119" s="78" t="n"/>
      <c r="D119" s="78" t="n"/>
      <c r="E119" s="73" t="n"/>
      <c r="F119" s="77" t="n"/>
      <c r="G119" s="87">
        <f>IF(OR($E119="",$F119=""),"",ROUND($E119*$F119,2))</f>
        <v/>
      </c>
      <c r="H119" s="87">
        <f>IF($E119="","",ROUND($E119*(1+IF($F119="",0,$F119)),2))</f>
        <v/>
      </c>
      <c r="I119" s="69" t="n"/>
      <c r="J119" s="88">
        <f>IF($B119="","",MONTH($B119))</f>
        <v/>
      </c>
      <c r="K119" s="2" t="n"/>
      <c r="L119" s="2" t="n"/>
      <c r="M119" s="2" t="n"/>
      <c r="N119" s="2" t="n"/>
      <c r="O119" s="2" t="n"/>
      <c r="P119" s="2" t="n"/>
    </row>
    <row r="120">
      <c r="A120" s="2" t="n"/>
      <c r="B120" s="84" t="n"/>
      <c r="C120" s="78" t="n"/>
      <c r="D120" s="78" t="n"/>
      <c r="E120" s="73" t="n"/>
      <c r="F120" s="77" t="n"/>
      <c r="G120" s="85">
        <f>IF(OR($E120="",$F120=""),"",ROUND($E120*$F120,2))</f>
        <v/>
      </c>
      <c r="H120" s="85">
        <f>IF($E120="","",ROUND($E120*(1+IF($F120="",0,$F120)),2))</f>
        <v/>
      </c>
      <c r="I120" s="69" t="n"/>
      <c r="J120" s="86">
        <f>IF($B120="","",MONTH($B120))</f>
        <v/>
      </c>
      <c r="K120" s="2" t="n"/>
      <c r="L120" s="2" t="n"/>
      <c r="M120" s="2" t="n"/>
      <c r="N120" s="2" t="n"/>
      <c r="O120" s="2" t="n"/>
      <c r="P120" s="2" t="n"/>
    </row>
    <row r="121">
      <c r="A121" s="2" t="n"/>
      <c r="B121" s="84" t="n"/>
      <c r="C121" s="78" t="n"/>
      <c r="D121" s="78" t="n"/>
      <c r="E121" s="73" t="n"/>
      <c r="F121" s="77" t="n"/>
      <c r="G121" s="87">
        <f>IF(OR($E121="",$F121=""),"",ROUND($E121*$F121,2))</f>
        <v/>
      </c>
      <c r="H121" s="87">
        <f>IF($E121="","",ROUND($E121*(1+IF($F121="",0,$F121)),2))</f>
        <v/>
      </c>
      <c r="I121" s="69" t="n"/>
      <c r="J121" s="88">
        <f>IF($B121="","",MONTH($B121))</f>
        <v/>
      </c>
      <c r="K121" s="2" t="n"/>
      <c r="L121" s="2" t="n"/>
      <c r="M121" s="2" t="n"/>
      <c r="N121" s="2" t="n"/>
      <c r="O121" s="2" t="n"/>
      <c r="P121" s="2" t="n"/>
    </row>
    <row r="122">
      <c r="A122" s="2" t="n"/>
      <c r="B122" s="84" t="n"/>
      <c r="C122" s="78" t="n"/>
      <c r="D122" s="78" t="n"/>
      <c r="E122" s="73" t="n"/>
      <c r="F122" s="77" t="n"/>
      <c r="G122" s="85">
        <f>IF(OR($E122="",$F122=""),"",ROUND($E122*$F122,2))</f>
        <v/>
      </c>
      <c r="H122" s="85">
        <f>IF($E122="","",ROUND($E122*(1+IF($F122="",0,$F122)),2))</f>
        <v/>
      </c>
      <c r="I122" s="69" t="n"/>
      <c r="J122" s="86">
        <f>IF($B122="","",MONTH($B122))</f>
        <v/>
      </c>
      <c r="K122" s="2" t="n"/>
      <c r="L122" s="2" t="n"/>
      <c r="M122" s="2" t="n"/>
      <c r="N122" s="2" t="n"/>
      <c r="O122" s="2" t="n"/>
      <c r="P122" s="2" t="n"/>
    </row>
    <row r="123">
      <c r="A123" s="2" t="n"/>
      <c r="B123" s="84" t="n"/>
      <c r="C123" s="78" t="n"/>
      <c r="D123" s="78" t="n"/>
      <c r="E123" s="73" t="n"/>
      <c r="F123" s="77" t="n"/>
      <c r="G123" s="87">
        <f>IF(OR($E123="",$F123=""),"",ROUND($E123*$F123,2))</f>
        <v/>
      </c>
      <c r="H123" s="87">
        <f>IF($E123="","",ROUND($E123*(1+IF($F123="",0,$F123)),2))</f>
        <v/>
      </c>
      <c r="I123" s="69" t="n"/>
      <c r="J123" s="88">
        <f>IF($B123="","",MONTH($B123))</f>
        <v/>
      </c>
      <c r="K123" s="2" t="n"/>
      <c r="L123" s="2" t="n"/>
      <c r="M123" s="2" t="n"/>
      <c r="N123" s="2" t="n"/>
      <c r="O123" s="2" t="n"/>
      <c r="P123" s="2" t="n"/>
    </row>
    <row r="124">
      <c r="A124" s="2" t="n"/>
      <c r="B124" s="84" t="n"/>
      <c r="C124" s="78" t="n"/>
      <c r="D124" s="78" t="n"/>
      <c r="E124" s="73" t="n"/>
      <c r="F124" s="77" t="n"/>
      <c r="G124" s="85">
        <f>IF(OR($E124="",$F124=""),"",ROUND($E124*$F124,2))</f>
        <v/>
      </c>
      <c r="H124" s="85">
        <f>IF($E124="","",ROUND($E124*(1+IF($F124="",0,$F124)),2))</f>
        <v/>
      </c>
      <c r="I124" s="69" t="n"/>
      <c r="J124" s="86">
        <f>IF($B124="","",MONTH($B124))</f>
        <v/>
      </c>
      <c r="K124" s="2" t="n"/>
      <c r="L124" s="2" t="n"/>
      <c r="M124" s="2" t="n"/>
      <c r="N124" s="2" t="n"/>
      <c r="O124" s="2" t="n"/>
      <c r="P124" s="2" t="n"/>
    </row>
    <row r="125">
      <c r="A125" s="2" t="n"/>
      <c r="B125" s="84" t="n"/>
      <c r="C125" s="78" t="n"/>
      <c r="D125" s="78" t="n"/>
      <c r="E125" s="73" t="n"/>
      <c r="F125" s="77" t="n"/>
      <c r="G125" s="87">
        <f>IF(OR($E125="",$F125=""),"",ROUND($E125*$F125,2))</f>
        <v/>
      </c>
      <c r="H125" s="87">
        <f>IF($E125="","",ROUND($E125*(1+IF($F125="",0,$F125)),2))</f>
        <v/>
      </c>
      <c r="I125" s="69" t="n"/>
      <c r="J125" s="88">
        <f>IF($B125="","",MONTH($B125))</f>
        <v/>
      </c>
      <c r="K125" s="2" t="n"/>
      <c r="L125" s="2" t="n"/>
      <c r="M125" s="2" t="n"/>
      <c r="N125" s="2" t="n"/>
      <c r="O125" s="2" t="n"/>
      <c r="P125" s="2" t="n"/>
    </row>
    <row r="126">
      <c r="A126" s="2" t="n"/>
      <c r="B126" s="84" t="n"/>
      <c r="C126" s="78" t="n"/>
      <c r="D126" s="78" t="n"/>
      <c r="E126" s="73" t="n"/>
      <c r="F126" s="77" t="n"/>
      <c r="G126" s="85">
        <f>IF(OR($E126="",$F126=""),"",ROUND($E126*$F126,2))</f>
        <v/>
      </c>
      <c r="H126" s="85">
        <f>IF($E126="","",ROUND($E126*(1+IF($F126="",0,$F126)),2))</f>
        <v/>
      </c>
      <c r="I126" s="69" t="n"/>
      <c r="J126" s="86">
        <f>IF($B126="","",MONTH($B126))</f>
        <v/>
      </c>
      <c r="K126" s="2" t="n"/>
      <c r="L126" s="2" t="n"/>
      <c r="M126" s="2" t="n"/>
      <c r="N126" s="2" t="n"/>
      <c r="O126" s="2" t="n"/>
      <c r="P126" s="2" t="n"/>
    </row>
    <row r="127">
      <c r="A127" s="2" t="n"/>
      <c r="B127" s="84" t="n"/>
      <c r="C127" s="78" t="n"/>
      <c r="D127" s="78" t="n"/>
      <c r="E127" s="73" t="n"/>
      <c r="F127" s="77" t="n"/>
      <c r="G127" s="87">
        <f>IF(OR($E127="",$F127=""),"",ROUND($E127*$F127,2))</f>
        <v/>
      </c>
      <c r="H127" s="87">
        <f>IF($E127="","",ROUND($E127*(1+IF($F127="",0,$F127)),2))</f>
        <v/>
      </c>
      <c r="I127" s="69" t="n"/>
      <c r="J127" s="88">
        <f>IF($B127="","",MONTH($B127))</f>
        <v/>
      </c>
      <c r="K127" s="2" t="n"/>
      <c r="L127" s="2" t="n"/>
      <c r="M127" s="2" t="n"/>
      <c r="N127" s="2" t="n"/>
      <c r="O127" s="2" t="n"/>
      <c r="P127" s="2" t="n"/>
    </row>
    <row r="128">
      <c r="A128" s="2" t="n"/>
      <c r="B128" s="84" t="n"/>
      <c r="C128" s="78" t="n"/>
      <c r="D128" s="78" t="n"/>
      <c r="E128" s="73" t="n"/>
      <c r="F128" s="77" t="n"/>
      <c r="G128" s="85">
        <f>IF(OR($E128="",$F128=""),"",ROUND($E128*$F128,2))</f>
        <v/>
      </c>
      <c r="H128" s="85">
        <f>IF($E128="","",ROUND($E128*(1+IF($F128="",0,$F128)),2))</f>
        <v/>
      </c>
      <c r="I128" s="69" t="n"/>
      <c r="J128" s="86">
        <f>IF($B128="","",MONTH($B128))</f>
        <v/>
      </c>
      <c r="K128" s="2" t="n"/>
      <c r="L128" s="2" t="n"/>
      <c r="M128" s="2" t="n"/>
      <c r="N128" s="2" t="n"/>
      <c r="O128" s="2" t="n"/>
      <c r="P128" s="2" t="n"/>
    </row>
    <row r="129">
      <c r="A129" s="2" t="n"/>
      <c r="B129" s="84" t="n"/>
      <c r="C129" s="78" t="n"/>
      <c r="D129" s="78" t="n"/>
      <c r="E129" s="73" t="n"/>
      <c r="F129" s="77" t="n"/>
      <c r="G129" s="87">
        <f>IF(OR($E129="",$F129=""),"",ROUND($E129*$F129,2))</f>
        <v/>
      </c>
      <c r="H129" s="87">
        <f>IF($E129="","",ROUND($E129*(1+IF($F129="",0,$F129)),2))</f>
        <v/>
      </c>
      <c r="I129" s="69" t="n"/>
      <c r="J129" s="88">
        <f>IF($B129="","",MONTH($B129))</f>
        <v/>
      </c>
      <c r="K129" s="2" t="n"/>
      <c r="L129" s="2" t="n"/>
      <c r="M129" s="2" t="n"/>
      <c r="N129" s="2" t="n"/>
      <c r="O129" s="2" t="n"/>
      <c r="P129" s="2" t="n"/>
    </row>
    <row r="130">
      <c r="A130" s="2" t="n"/>
      <c r="B130" s="84" t="n"/>
      <c r="C130" s="78" t="n"/>
      <c r="D130" s="78" t="n"/>
      <c r="E130" s="73" t="n"/>
      <c r="F130" s="77" t="n"/>
      <c r="G130" s="85">
        <f>IF(OR($E130="",$F130=""),"",ROUND($E130*$F130,2))</f>
        <v/>
      </c>
      <c r="H130" s="85">
        <f>IF($E130="","",ROUND($E130*(1+IF($F130="",0,$F130)),2))</f>
        <v/>
      </c>
      <c r="I130" s="69" t="n"/>
      <c r="J130" s="86">
        <f>IF($B130="","",MONTH($B130))</f>
        <v/>
      </c>
      <c r="K130" s="2" t="n"/>
      <c r="L130" s="2" t="n"/>
      <c r="M130" s="2" t="n"/>
      <c r="N130" s="2" t="n"/>
      <c r="O130" s="2" t="n"/>
      <c r="P130" s="2" t="n"/>
    </row>
    <row r="131">
      <c r="A131" s="2" t="n"/>
      <c r="B131" s="84" t="n"/>
      <c r="C131" s="78" t="n"/>
      <c r="D131" s="78" t="n"/>
      <c r="E131" s="73" t="n"/>
      <c r="F131" s="77" t="n"/>
      <c r="G131" s="87">
        <f>IF(OR($E131="",$F131=""),"",ROUND($E131*$F131,2))</f>
        <v/>
      </c>
      <c r="H131" s="87">
        <f>IF($E131="","",ROUND($E131*(1+IF($F131="",0,$F131)),2))</f>
        <v/>
      </c>
      <c r="I131" s="69" t="n"/>
      <c r="J131" s="88">
        <f>IF($B131="","",MONTH($B131))</f>
        <v/>
      </c>
      <c r="K131" s="2" t="n"/>
      <c r="L131" s="2" t="n"/>
      <c r="M131" s="2" t="n"/>
      <c r="N131" s="2" t="n"/>
      <c r="O131" s="2" t="n"/>
      <c r="P131" s="2" t="n"/>
    </row>
    <row r="132">
      <c r="A132" s="2" t="n"/>
      <c r="B132" s="84" t="n"/>
      <c r="C132" s="78" t="n"/>
      <c r="D132" s="78" t="n"/>
      <c r="E132" s="73" t="n"/>
      <c r="F132" s="77" t="n"/>
      <c r="G132" s="85">
        <f>IF(OR($E132="",$F132=""),"",ROUND($E132*$F132,2))</f>
        <v/>
      </c>
      <c r="H132" s="85">
        <f>IF($E132="","",ROUND($E132*(1+IF($F132="",0,$F132)),2))</f>
        <v/>
      </c>
      <c r="I132" s="69" t="n"/>
      <c r="J132" s="86">
        <f>IF($B132="","",MONTH($B132))</f>
        <v/>
      </c>
      <c r="K132" s="2" t="n"/>
      <c r="L132" s="2" t="n"/>
      <c r="M132" s="2" t="n"/>
      <c r="N132" s="2" t="n"/>
      <c r="O132" s="2" t="n"/>
      <c r="P132" s="2" t="n"/>
    </row>
    <row r="133">
      <c r="A133" s="2" t="n"/>
      <c r="B133" s="84" t="n"/>
      <c r="C133" s="78" t="n"/>
      <c r="D133" s="78" t="n"/>
      <c r="E133" s="73" t="n"/>
      <c r="F133" s="77" t="n"/>
      <c r="G133" s="87">
        <f>IF(OR($E133="",$F133=""),"",ROUND($E133*$F133,2))</f>
        <v/>
      </c>
      <c r="H133" s="87">
        <f>IF($E133="","",ROUND($E133*(1+IF($F133="",0,$F133)),2))</f>
        <v/>
      </c>
      <c r="I133" s="69" t="n"/>
      <c r="J133" s="88">
        <f>IF($B133="","",MONTH($B133))</f>
        <v/>
      </c>
      <c r="K133" s="2" t="n"/>
      <c r="L133" s="2" t="n"/>
      <c r="M133" s="2" t="n"/>
      <c r="N133" s="2" t="n"/>
      <c r="O133" s="2" t="n"/>
      <c r="P133" s="2" t="n"/>
    </row>
    <row r="134">
      <c r="A134" s="2" t="n"/>
      <c r="B134" s="84" t="n"/>
      <c r="C134" s="78" t="n"/>
      <c r="D134" s="78" t="n"/>
      <c r="E134" s="73" t="n"/>
      <c r="F134" s="77" t="n"/>
      <c r="G134" s="85">
        <f>IF(OR($E134="",$F134=""),"",ROUND($E134*$F134,2))</f>
        <v/>
      </c>
      <c r="H134" s="85">
        <f>IF($E134="","",ROUND($E134*(1+IF($F134="",0,$F134)),2))</f>
        <v/>
      </c>
      <c r="I134" s="69" t="n"/>
      <c r="J134" s="86">
        <f>IF($B134="","",MONTH($B134))</f>
        <v/>
      </c>
      <c r="K134" s="2" t="n"/>
      <c r="L134" s="2" t="n"/>
      <c r="M134" s="2" t="n"/>
      <c r="N134" s="2" t="n"/>
      <c r="O134" s="2" t="n"/>
      <c r="P134" s="2" t="n"/>
    </row>
    <row r="135">
      <c r="A135" s="2" t="n"/>
      <c r="B135" s="84" t="n"/>
      <c r="C135" s="78" t="n"/>
      <c r="D135" s="78" t="n"/>
      <c r="E135" s="73" t="n"/>
      <c r="F135" s="77" t="n"/>
      <c r="G135" s="87">
        <f>IF(OR($E135="",$F135=""),"",ROUND($E135*$F135,2))</f>
        <v/>
      </c>
      <c r="H135" s="87">
        <f>IF($E135="","",ROUND($E135*(1+IF($F135="",0,$F135)),2))</f>
        <v/>
      </c>
      <c r="I135" s="69" t="n"/>
      <c r="J135" s="88">
        <f>IF($B135="","",MONTH($B135))</f>
        <v/>
      </c>
      <c r="K135" s="2" t="n"/>
      <c r="L135" s="2" t="n"/>
      <c r="M135" s="2" t="n"/>
      <c r="N135" s="2" t="n"/>
      <c r="O135" s="2" t="n"/>
      <c r="P135" s="2" t="n"/>
    </row>
    <row r="136">
      <c r="A136" s="2" t="n"/>
      <c r="B136" s="84" t="n"/>
      <c r="C136" s="78" t="n"/>
      <c r="D136" s="78" t="n"/>
      <c r="E136" s="73" t="n"/>
      <c r="F136" s="77" t="n"/>
      <c r="G136" s="85">
        <f>IF(OR($E136="",$F136=""),"",ROUND($E136*$F136,2))</f>
        <v/>
      </c>
      <c r="H136" s="85">
        <f>IF($E136="","",ROUND($E136*(1+IF($F136="",0,$F136)),2))</f>
        <v/>
      </c>
      <c r="I136" s="69" t="n"/>
      <c r="J136" s="86">
        <f>IF($B136="","",MONTH($B136))</f>
        <v/>
      </c>
      <c r="K136" s="2" t="n"/>
      <c r="L136" s="2" t="n"/>
      <c r="M136" s="2" t="n"/>
      <c r="N136" s="2" t="n"/>
      <c r="O136" s="2" t="n"/>
      <c r="P136" s="2" t="n"/>
    </row>
    <row r="137">
      <c r="A137" s="2" t="n"/>
      <c r="B137" s="84" t="n"/>
      <c r="C137" s="78" t="n"/>
      <c r="D137" s="78" t="n"/>
      <c r="E137" s="73" t="n"/>
      <c r="F137" s="77" t="n"/>
      <c r="G137" s="87">
        <f>IF(OR($E137="",$F137=""),"",ROUND($E137*$F137,2))</f>
        <v/>
      </c>
      <c r="H137" s="87">
        <f>IF($E137="","",ROUND($E137*(1+IF($F137="",0,$F137)),2))</f>
        <v/>
      </c>
      <c r="I137" s="69" t="n"/>
      <c r="J137" s="88">
        <f>IF($B137="","",MONTH($B137))</f>
        <v/>
      </c>
      <c r="K137" s="2" t="n"/>
      <c r="L137" s="2" t="n"/>
      <c r="M137" s="2" t="n"/>
      <c r="N137" s="2" t="n"/>
      <c r="O137" s="2" t="n"/>
      <c r="P137" s="2" t="n"/>
    </row>
    <row r="138">
      <c r="A138" s="2" t="n"/>
      <c r="B138" s="84" t="n"/>
      <c r="C138" s="78" t="n"/>
      <c r="D138" s="78" t="n"/>
      <c r="E138" s="73" t="n"/>
      <c r="F138" s="77" t="n"/>
      <c r="G138" s="85">
        <f>IF(OR($E138="",$F138=""),"",ROUND($E138*$F138,2))</f>
        <v/>
      </c>
      <c r="H138" s="85">
        <f>IF($E138="","",ROUND($E138*(1+IF($F138="",0,$F138)),2))</f>
        <v/>
      </c>
      <c r="I138" s="69" t="n"/>
      <c r="J138" s="86">
        <f>IF($B138="","",MONTH($B138))</f>
        <v/>
      </c>
      <c r="K138" s="2" t="n"/>
      <c r="L138" s="2" t="n"/>
      <c r="M138" s="2" t="n"/>
      <c r="N138" s="2" t="n"/>
      <c r="O138" s="2" t="n"/>
      <c r="P138" s="2" t="n"/>
    </row>
    <row r="139">
      <c r="A139" s="2" t="n"/>
      <c r="B139" s="84" t="n"/>
      <c r="C139" s="78" t="n"/>
      <c r="D139" s="78" t="n"/>
      <c r="E139" s="73" t="n"/>
      <c r="F139" s="77" t="n"/>
      <c r="G139" s="87">
        <f>IF(OR($E139="",$F139=""),"",ROUND($E139*$F139,2))</f>
        <v/>
      </c>
      <c r="H139" s="87">
        <f>IF($E139="","",ROUND($E139*(1+IF($F139="",0,$F139)),2))</f>
        <v/>
      </c>
      <c r="I139" s="69" t="n"/>
      <c r="J139" s="88">
        <f>IF($B139="","",MONTH($B139))</f>
        <v/>
      </c>
      <c r="K139" s="2" t="n"/>
      <c r="L139" s="2" t="n"/>
      <c r="M139" s="2" t="n"/>
      <c r="N139" s="2" t="n"/>
      <c r="O139" s="2" t="n"/>
      <c r="P139" s="2" t="n"/>
    </row>
    <row r="140">
      <c r="A140" s="2" t="n"/>
      <c r="B140" s="84" t="n"/>
      <c r="C140" s="78" t="n"/>
      <c r="D140" s="78" t="n"/>
      <c r="E140" s="73" t="n"/>
      <c r="F140" s="77" t="n"/>
      <c r="G140" s="85">
        <f>IF(OR($E140="",$F140=""),"",ROUND($E140*$F140,2))</f>
        <v/>
      </c>
      <c r="H140" s="85">
        <f>IF($E140="","",ROUND($E140*(1+IF($F140="",0,$F140)),2))</f>
        <v/>
      </c>
      <c r="I140" s="69" t="n"/>
      <c r="J140" s="86">
        <f>IF($B140="","",MONTH($B140))</f>
        <v/>
      </c>
      <c r="K140" s="2" t="n"/>
      <c r="L140" s="2" t="n"/>
      <c r="M140" s="2" t="n"/>
      <c r="N140" s="2" t="n"/>
      <c r="O140" s="2" t="n"/>
      <c r="P140" s="2" t="n"/>
    </row>
    <row r="141">
      <c r="A141" s="2" t="n"/>
      <c r="B141" s="84" t="n"/>
      <c r="C141" s="78" t="n"/>
      <c r="D141" s="78" t="n"/>
      <c r="E141" s="73" t="n"/>
      <c r="F141" s="77" t="n"/>
      <c r="G141" s="87">
        <f>IF(OR($E141="",$F141=""),"",ROUND($E141*$F141,2))</f>
        <v/>
      </c>
      <c r="H141" s="87">
        <f>IF($E141="","",ROUND($E141*(1+IF($F141="",0,$F141)),2))</f>
        <v/>
      </c>
      <c r="I141" s="69" t="n"/>
      <c r="J141" s="88">
        <f>IF($B141="","",MONTH($B141))</f>
        <v/>
      </c>
      <c r="K141" s="2" t="n"/>
      <c r="L141" s="2" t="n"/>
      <c r="M141" s="2" t="n"/>
      <c r="N141" s="2" t="n"/>
      <c r="O141" s="2" t="n"/>
      <c r="P141" s="2" t="n"/>
    </row>
    <row r="142">
      <c r="A142" s="2" t="n"/>
      <c r="B142" s="84" t="n"/>
      <c r="C142" s="78" t="n"/>
      <c r="D142" s="78" t="n"/>
      <c r="E142" s="73" t="n"/>
      <c r="F142" s="77" t="n"/>
      <c r="G142" s="85">
        <f>IF(OR($E142="",$F142=""),"",ROUND($E142*$F142,2))</f>
        <v/>
      </c>
      <c r="H142" s="85">
        <f>IF($E142="","",ROUND($E142*(1+IF($F142="",0,$F142)),2))</f>
        <v/>
      </c>
      <c r="I142" s="69" t="n"/>
      <c r="J142" s="86">
        <f>IF($B142="","",MONTH($B142))</f>
        <v/>
      </c>
      <c r="K142" s="2" t="n"/>
      <c r="L142" s="2" t="n"/>
      <c r="M142" s="2" t="n"/>
      <c r="N142" s="2" t="n"/>
      <c r="O142" s="2" t="n"/>
      <c r="P142" s="2" t="n"/>
    </row>
    <row r="143">
      <c r="A143" s="2" t="n"/>
      <c r="B143" s="84" t="n"/>
      <c r="C143" s="78" t="n"/>
      <c r="D143" s="78" t="n"/>
      <c r="E143" s="73" t="n"/>
      <c r="F143" s="77" t="n"/>
      <c r="G143" s="87">
        <f>IF(OR($E143="",$F143=""),"",ROUND($E143*$F143,2))</f>
        <v/>
      </c>
      <c r="H143" s="87">
        <f>IF($E143="","",ROUND($E143*(1+IF($F143="",0,$F143)),2))</f>
        <v/>
      </c>
      <c r="I143" s="69" t="n"/>
      <c r="J143" s="88">
        <f>IF($B143="","",MONTH($B143))</f>
        <v/>
      </c>
      <c r="K143" s="2" t="n"/>
      <c r="L143" s="2" t="n"/>
      <c r="M143" s="2" t="n"/>
      <c r="N143" s="2" t="n"/>
      <c r="O143" s="2" t="n"/>
      <c r="P143" s="2" t="n"/>
    </row>
    <row r="144">
      <c r="A144" s="2" t="n"/>
      <c r="B144" s="84" t="n"/>
      <c r="C144" s="78" t="n"/>
      <c r="D144" s="78" t="n"/>
      <c r="E144" s="73" t="n"/>
      <c r="F144" s="77" t="n"/>
      <c r="G144" s="85">
        <f>IF(OR($E144="",$F144=""),"",ROUND($E144*$F144,2))</f>
        <v/>
      </c>
      <c r="H144" s="85">
        <f>IF($E144="","",ROUND($E144*(1+IF($F144="",0,$F144)),2))</f>
        <v/>
      </c>
      <c r="I144" s="69" t="n"/>
      <c r="J144" s="86">
        <f>IF($B144="","",MONTH($B144))</f>
        <v/>
      </c>
      <c r="K144" s="2" t="n"/>
      <c r="L144" s="2" t="n"/>
      <c r="M144" s="2" t="n"/>
      <c r="N144" s="2" t="n"/>
      <c r="O144" s="2" t="n"/>
      <c r="P144" s="2" t="n"/>
    </row>
    <row r="145">
      <c r="A145" s="2" t="n"/>
      <c r="B145" s="84" t="n"/>
      <c r="C145" s="78" t="n"/>
      <c r="D145" s="78" t="n"/>
      <c r="E145" s="73" t="n"/>
      <c r="F145" s="77" t="n"/>
      <c r="G145" s="87">
        <f>IF(OR($E145="",$F145=""),"",ROUND($E145*$F145,2))</f>
        <v/>
      </c>
      <c r="H145" s="87">
        <f>IF($E145="","",ROUND($E145*(1+IF($F145="",0,$F145)),2))</f>
        <v/>
      </c>
      <c r="I145" s="69" t="n"/>
      <c r="J145" s="88">
        <f>IF($B145="","",MONTH($B145))</f>
        <v/>
      </c>
      <c r="K145" s="2" t="n"/>
      <c r="L145" s="2" t="n"/>
      <c r="M145" s="2" t="n"/>
      <c r="N145" s="2" t="n"/>
      <c r="O145" s="2" t="n"/>
      <c r="P145" s="2" t="n"/>
    </row>
    <row r="146">
      <c r="A146" s="2" t="n"/>
      <c r="B146" s="84" t="n"/>
      <c r="C146" s="78" t="n"/>
      <c r="D146" s="78" t="n"/>
      <c r="E146" s="73" t="n"/>
      <c r="F146" s="77" t="n"/>
      <c r="G146" s="85">
        <f>IF(OR($E146="",$F146=""),"",ROUND($E146*$F146,2))</f>
        <v/>
      </c>
      <c r="H146" s="85">
        <f>IF($E146="","",ROUND($E146*(1+IF($F146="",0,$F146)),2))</f>
        <v/>
      </c>
      <c r="I146" s="69" t="n"/>
      <c r="J146" s="86">
        <f>IF($B146="","",MONTH($B146))</f>
        <v/>
      </c>
      <c r="K146" s="2" t="n"/>
      <c r="L146" s="2" t="n"/>
      <c r="M146" s="2" t="n"/>
      <c r="N146" s="2" t="n"/>
      <c r="O146" s="2" t="n"/>
      <c r="P146" s="2" t="n"/>
    </row>
    <row r="147">
      <c r="A147" s="2" t="n"/>
      <c r="B147" s="84" t="n"/>
      <c r="C147" s="78" t="n"/>
      <c r="D147" s="78" t="n"/>
      <c r="E147" s="73" t="n"/>
      <c r="F147" s="77" t="n"/>
      <c r="G147" s="87">
        <f>IF(OR($E147="",$F147=""),"",ROUND($E147*$F147,2))</f>
        <v/>
      </c>
      <c r="H147" s="87">
        <f>IF($E147="","",ROUND($E147*(1+IF($F147="",0,$F147)),2))</f>
        <v/>
      </c>
      <c r="I147" s="69" t="n"/>
      <c r="J147" s="88">
        <f>IF($B147="","",MONTH($B147))</f>
        <v/>
      </c>
      <c r="K147" s="2" t="n"/>
      <c r="L147" s="2" t="n"/>
      <c r="M147" s="2" t="n"/>
      <c r="N147" s="2" t="n"/>
      <c r="O147" s="2" t="n"/>
      <c r="P147" s="2" t="n"/>
    </row>
    <row r="148">
      <c r="A148" s="2" t="n"/>
      <c r="B148" s="84" t="n"/>
      <c r="C148" s="78" t="n"/>
      <c r="D148" s="78" t="n"/>
      <c r="E148" s="73" t="n"/>
      <c r="F148" s="77" t="n"/>
      <c r="G148" s="85">
        <f>IF(OR($E148="",$F148=""),"",ROUND($E148*$F148,2))</f>
        <v/>
      </c>
      <c r="H148" s="85">
        <f>IF($E148="","",ROUND($E148*(1+IF($F148="",0,$F148)),2))</f>
        <v/>
      </c>
      <c r="I148" s="69" t="n"/>
      <c r="J148" s="86">
        <f>IF($B148="","",MONTH($B148))</f>
        <v/>
      </c>
      <c r="K148" s="2" t="n"/>
      <c r="L148" s="2" t="n"/>
      <c r="M148" s="2" t="n"/>
      <c r="N148" s="2" t="n"/>
      <c r="O148" s="2" t="n"/>
      <c r="P148" s="2" t="n"/>
    </row>
    <row r="149">
      <c r="A149" s="2" t="n"/>
      <c r="B149" s="84" t="n"/>
      <c r="C149" s="78" t="n"/>
      <c r="D149" s="78" t="n"/>
      <c r="E149" s="73" t="n"/>
      <c r="F149" s="77" t="n"/>
      <c r="G149" s="87">
        <f>IF(OR($E149="",$F149=""),"",ROUND($E149*$F149,2))</f>
        <v/>
      </c>
      <c r="H149" s="87">
        <f>IF($E149="","",ROUND($E149*(1+IF($F149="",0,$F149)),2))</f>
        <v/>
      </c>
      <c r="I149" s="69" t="n"/>
      <c r="J149" s="88">
        <f>IF($B149="","",MONTH($B149))</f>
        <v/>
      </c>
      <c r="K149" s="2" t="n"/>
      <c r="L149" s="2" t="n"/>
      <c r="M149" s="2" t="n"/>
      <c r="N149" s="2" t="n"/>
      <c r="O149" s="2" t="n"/>
      <c r="P149" s="2" t="n"/>
    </row>
    <row r="150">
      <c r="A150" s="2" t="n"/>
      <c r="B150" s="84" t="n"/>
      <c r="C150" s="78" t="n"/>
      <c r="D150" s="78" t="n"/>
      <c r="E150" s="73" t="n"/>
      <c r="F150" s="77" t="n"/>
      <c r="G150" s="85">
        <f>IF(OR($E150="",$F150=""),"",ROUND($E150*$F150,2))</f>
        <v/>
      </c>
      <c r="H150" s="85">
        <f>IF($E150="","",ROUND($E150*(1+IF($F150="",0,$F150)),2))</f>
        <v/>
      </c>
      <c r="I150" s="69" t="n"/>
      <c r="J150" s="86">
        <f>IF($B150="","",MONTH($B150))</f>
        <v/>
      </c>
      <c r="K150" s="2" t="n"/>
      <c r="L150" s="2" t="n"/>
      <c r="M150" s="2" t="n"/>
      <c r="N150" s="2" t="n"/>
      <c r="O150" s="2" t="n"/>
      <c r="P150" s="2" t="n"/>
    </row>
    <row r="151">
      <c r="A151" s="2" t="n"/>
      <c r="B151" s="84" t="n"/>
      <c r="C151" s="78" t="n"/>
      <c r="D151" s="78" t="n"/>
      <c r="E151" s="73" t="n"/>
      <c r="F151" s="77" t="n"/>
      <c r="G151" s="87">
        <f>IF(OR($E151="",$F151=""),"",ROUND($E151*$F151,2))</f>
        <v/>
      </c>
      <c r="H151" s="87">
        <f>IF($E151="","",ROUND($E151*(1+IF($F151="",0,$F151)),2))</f>
        <v/>
      </c>
      <c r="I151" s="69" t="n"/>
      <c r="J151" s="88">
        <f>IF($B151="","",MONTH($B151))</f>
        <v/>
      </c>
      <c r="K151" s="2" t="n"/>
      <c r="L151" s="2" t="n"/>
      <c r="M151" s="2" t="n"/>
      <c r="N151" s="2" t="n"/>
      <c r="O151" s="2" t="n"/>
      <c r="P151" s="2" t="n"/>
    </row>
    <row r="152">
      <c r="A152" s="2" t="n"/>
      <c r="B152" s="84" t="n"/>
      <c r="C152" s="78" t="n"/>
      <c r="D152" s="78" t="n"/>
      <c r="E152" s="73" t="n"/>
      <c r="F152" s="77" t="n"/>
      <c r="G152" s="85">
        <f>IF(OR($E152="",$F152=""),"",ROUND($E152*$F152,2))</f>
        <v/>
      </c>
      <c r="H152" s="85">
        <f>IF($E152="","",ROUND($E152*(1+IF($F152="",0,$F152)),2))</f>
        <v/>
      </c>
      <c r="I152" s="69" t="n"/>
      <c r="J152" s="86">
        <f>IF($B152="","",MONTH($B152))</f>
        <v/>
      </c>
      <c r="K152" s="2" t="n"/>
      <c r="L152" s="2" t="n"/>
      <c r="M152" s="2" t="n"/>
      <c r="N152" s="2" t="n"/>
      <c r="O152" s="2" t="n"/>
      <c r="P152" s="2" t="n"/>
    </row>
    <row r="153">
      <c r="A153" s="2" t="n"/>
      <c r="B153" s="84" t="n"/>
      <c r="C153" s="78" t="n"/>
      <c r="D153" s="78" t="n"/>
      <c r="E153" s="73" t="n"/>
      <c r="F153" s="77" t="n"/>
      <c r="G153" s="87">
        <f>IF(OR($E153="",$F153=""),"",ROUND($E153*$F153,2))</f>
        <v/>
      </c>
      <c r="H153" s="87">
        <f>IF($E153="","",ROUND($E153*(1+IF($F153="",0,$F153)),2))</f>
        <v/>
      </c>
      <c r="I153" s="69" t="n"/>
      <c r="J153" s="88">
        <f>IF($B153="","",MONTH($B153))</f>
        <v/>
      </c>
      <c r="K153" s="2" t="n"/>
      <c r="L153" s="2" t="n"/>
      <c r="M153" s="2" t="n"/>
      <c r="N153" s="2" t="n"/>
      <c r="O153" s="2" t="n"/>
      <c r="P153" s="2" t="n"/>
    </row>
    <row r="154">
      <c r="A154" s="2" t="n"/>
      <c r="B154" s="84" t="n"/>
      <c r="C154" s="78" t="n"/>
      <c r="D154" s="78" t="n"/>
      <c r="E154" s="73" t="n"/>
      <c r="F154" s="77" t="n"/>
      <c r="G154" s="85">
        <f>IF(OR($E154="",$F154=""),"",ROUND($E154*$F154,2))</f>
        <v/>
      </c>
      <c r="H154" s="85">
        <f>IF($E154="","",ROUND($E154*(1+IF($F154="",0,$F154)),2))</f>
        <v/>
      </c>
      <c r="I154" s="69" t="n"/>
      <c r="J154" s="86">
        <f>IF($B154="","",MONTH($B154))</f>
        <v/>
      </c>
      <c r="K154" s="2" t="n"/>
      <c r="L154" s="2" t="n"/>
      <c r="M154" s="2" t="n"/>
      <c r="N154" s="2" t="n"/>
      <c r="O154" s="2" t="n"/>
      <c r="P154" s="2" t="n"/>
    </row>
    <row r="155">
      <c r="A155" s="2" t="n"/>
      <c r="B155" s="84" t="n"/>
      <c r="C155" s="78" t="n"/>
      <c r="D155" s="78" t="n"/>
      <c r="E155" s="73" t="n"/>
      <c r="F155" s="77" t="n"/>
      <c r="G155" s="87">
        <f>IF(OR($E155="",$F155=""),"",ROUND($E155*$F155,2))</f>
        <v/>
      </c>
      <c r="H155" s="87">
        <f>IF($E155="","",ROUND($E155*(1+IF($F155="",0,$F155)),2))</f>
        <v/>
      </c>
      <c r="I155" s="69" t="n"/>
      <c r="J155" s="88">
        <f>IF($B155="","",MONTH($B155))</f>
        <v/>
      </c>
      <c r="K155" s="2" t="n"/>
      <c r="L155" s="2" t="n"/>
      <c r="M155" s="2" t="n"/>
      <c r="N155" s="2" t="n"/>
      <c r="O155" s="2" t="n"/>
      <c r="P155" s="2" t="n"/>
    </row>
    <row r="156">
      <c r="A156" s="2" t="n"/>
      <c r="B156" s="84" t="n"/>
      <c r="C156" s="78" t="n"/>
      <c r="D156" s="78" t="n"/>
      <c r="E156" s="73" t="n"/>
      <c r="F156" s="77" t="n"/>
      <c r="G156" s="85">
        <f>IF(OR($E156="",$F156=""),"",ROUND($E156*$F156,2))</f>
        <v/>
      </c>
      <c r="H156" s="85">
        <f>IF($E156="","",ROUND($E156*(1+IF($F156="",0,$F156)),2))</f>
        <v/>
      </c>
      <c r="I156" s="69" t="n"/>
      <c r="J156" s="86">
        <f>IF($B156="","",MONTH($B156))</f>
        <v/>
      </c>
      <c r="K156" s="2" t="n"/>
      <c r="L156" s="2" t="n"/>
      <c r="M156" s="2" t="n"/>
      <c r="N156" s="2" t="n"/>
      <c r="O156" s="2" t="n"/>
      <c r="P156" s="2" t="n"/>
    </row>
    <row r="157">
      <c r="A157" s="2" t="n"/>
      <c r="B157" s="84" t="n"/>
      <c r="C157" s="78" t="n"/>
      <c r="D157" s="78" t="n"/>
      <c r="E157" s="73" t="n"/>
      <c r="F157" s="77" t="n"/>
      <c r="G157" s="87">
        <f>IF(OR($E157="",$F157=""),"",ROUND($E157*$F157,2))</f>
        <v/>
      </c>
      <c r="H157" s="87">
        <f>IF($E157="","",ROUND($E157*(1+IF($F157="",0,$F157)),2))</f>
        <v/>
      </c>
      <c r="I157" s="69" t="n"/>
      <c r="J157" s="88">
        <f>IF($B157="","",MONTH($B157))</f>
        <v/>
      </c>
      <c r="K157" s="2" t="n"/>
      <c r="L157" s="2" t="n"/>
      <c r="M157" s="2" t="n"/>
      <c r="N157" s="2" t="n"/>
      <c r="O157" s="2" t="n"/>
      <c r="P157" s="2" t="n"/>
    </row>
    <row r="158">
      <c r="A158" s="2" t="n"/>
      <c r="B158" s="84" t="n"/>
      <c r="C158" s="78" t="n"/>
      <c r="D158" s="78" t="n"/>
      <c r="E158" s="73" t="n"/>
      <c r="F158" s="77" t="n"/>
      <c r="G158" s="85">
        <f>IF(OR($E158="",$F158=""),"",ROUND($E158*$F158,2))</f>
        <v/>
      </c>
      <c r="H158" s="85">
        <f>IF($E158="","",ROUND($E158*(1+IF($F158="",0,$F158)),2))</f>
        <v/>
      </c>
      <c r="I158" s="69" t="n"/>
      <c r="J158" s="86">
        <f>IF($B158="","",MONTH($B158))</f>
        <v/>
      </c>
      <c r="K158" s="2" t="n"/>
      <c r="L158" s="2" t="n"/>
      <c r="M158" s="2" t="n"/>
      <c r="N158" s="2" t="n"/>
      <c r="O158" s="2" t="n"/>
      <c r="P158" s="2" t="n"/>
    </row>
    <row r="159">
      <c r="A159" s="2" t="n"/>
      <c r="B159" s="84" t="n"/>
      <c r="C159" s="78" t="n"/>
      <c r="D159" s="78" t="n"/>
      <c r="E159" s="73" t="n"/>
      <c r="F159" s="77" t="n"/>
      <c r="G159" s="87">
        <f>IF(OR($E159="",$F159=""),"",ROUND($E159*$F159,2))</f>
        <v/>
      </c>
      <c r="H159" s="87">
        <f>IF($E159="","",ROUND($E159*(1+IF($F159="",0,$F159)),2))</f>
        <v/>
      </c>
      <c r="I159" s="69" t="n"/>
      <c r="J159" s="88">
        <f>IF($B159="","",MONTH($B159))</f>
        <v/>
      </c>
      <c r="K159" s="2" t="n"/>
      <c r="L159" s="2" t="n"/>
      <c r="M159" s="2" t="n"/>
      <c r="N159" s="2" t="n"/>
      <c r="O159" s="2" t="n"/>
      <c r="P159" s="2" t="n"/>
    </row>
    <row r="160">
      <c r="A160" s="2" t="n"/>
      <c r="B160" s="84" t="n"/>
      <c r="C160" s="78" t="n"/>
      <c r="D160" s="78" t="n"/>
      <c r="E160" s="73" t="n"/>
      <c r="F160" s="77" t="n"/>
      <c r="G160" s="85">
        <f>IF(OR($E160="",$F160=""),"",ROUND($E160*$F160,2))</f>
        <v/>
      </c>
      <c r="H160" s="85">
        <f>IF($E160="","",ROUND($E160*(1+IF($F160="",0,$F160)),2))</f>
        <v/>
      </c>
      <c r="I160" s="69" t="n"/>
      <c r="J160" s="86">
        <f>IF($B160="","",MONTH($B160))</f>
        <v/>
      </c>
      <c r="K160" s="2" t="n"/>
      <c r="L160" s="2" t="n"/>
      <c r="M160" s="2" t="n"/>
      <c r="N160" s="2" t="n"/>
      <c r="O160" s="2" t="n"/>
      <c r="P160" s="2" t="n"/>
    </row>
    <row r="161">
      <c r="A161" s="2" t="n"/>
      <c r="B161" s="84" t="n"/>
      <c r="C161" s="78" t="n"/>
      <c r="D161" s="78" t="n"/>
      <c r="E161" s="73" t="n"/>
      <c r="F161" s="77" t="n"/>
      <c r="G161" s="87">
        <f>IF(OR($E161="",$F161=""),"",ROUND($E161*$F161,2))</f>
        <v/>
      </c>
      <c r="H161" s="87">
        <f>IF($E161="","",ROUND($E161*(1+IF($F161="",0,$F161)),2))</f>
        <v/>
      </c>
      <c r="I161" s="69" t="n"/>
      <c r="J161" s="88">
        <f>IF($B161="","",MONTH($B161))</f>
        <v/>
      </c>
      <c r="K161" s="2" t="n"/>
      <c r="L161" s="2" t="n"/>
      <c r="M161" s="2" t="n"/>
      <c r="N161" s="2" t="n"/>
      <c r="O161" s="2" t="n"/>
      <c r="P161" s="2" t="n"/>
    </row>
    <row r="162">
      <c r="A162" s="2" t="n"/>
      <c r="B162" s="84" t="n"/>
      <c r="C162" s="78" t="n"/>
      <c r="D162" s="78" t="n"/>
      <c r="E162" s="73" t="n"/>
      <c r="F162" s="77" t="n"/>
      <c r="G162" s="85">
        <f>IF(OR($E162="",$F162=""),"",ROUND($E162*$F162,2))</f>
        <v/>
      </c>
      <c r="H162" s="85">
        <f>IF($E162="","",ROUND($E162*(1+IF($F162="",0,$F162)),2))</f>
        <v/>
      </c>
      <c r="I162" s="69" t="n"/>
      <c r="J162" s="86">
        <f>IF($B162="","",MONTH($B162))</f>
        <v/>
      </c>
      <c r="K162" s="2" t="n"/>
      <c r="L162" s="2" t="n"/>
      <c r="M162" s="2" t="n"/>
      <c r="N162" s="2" t="n"/>
      <c r="O162" s="2" t="n"/>
      <c r="P162" s="2" t="n"/>
    </row>
    <row r="163">
      <c r="A163" s="2" t="n"/>
      <c r="B163" s="84" t="n"/>
      <c r="C163" s="78" t="n"/>
      <c r="D163" s="78" t="n"/>
      <c r="E163" s="73" t="n"/>
      <c r="F163" s="77" t="n"/>
      <c r="G163" s="87">
        <f>IF(OR($E163="",$F163=""),"",ROUND($E163*$F163,2))</f>
        <v/>
      </c>
      <c r="H163" s="87">
        <f>IF($E163="","",ROUND($E163*(1+IF($F163="",0,$F163)),2))</f>
        <v/>
      </c>
      <c r="I163" s="69" t="n"/>
      <c r="J163" s="88">
        <f>IF($B163="","",MONTH($B163))</f>
        <v/>
      </c>
      <c r="K163" s="2" t="n"/>
      <c r="L163" s="2" t="n"/>
      <c r="M163" s="2" t="n"/>
      <c r="N163" s="2" t="n"/>
      <c r="O163" s="2" t="n"/>
      <c r="P163" s="2" t="n"/>
    </row>
    <row r="164">
      <c r="A164" s="2" t="n"/>
      <c r="B164" s="84" t="n"/>
      <c r="C164" s="78" t="n"/>
      <c r="D164" s="78" t="n"/>
      <c r="E164" s="73" t="n"/>
      <c r="F164" s="77" t="n"/>
      <c r="G164" s="85">
        <f>IF(OR($E164="",$F164=""),"",ROUND($E164*$F164,2))</f>
        <v/>
      </c>
      <c r="H164" s="85">
        <f>IF($E164="","",ROUND($E164*(1+IF($F164="",0,$F164)),2))</f>
        <v/>
      </c>
      <c r="I164" s="69" t="n"/>
      <c r="J164" s="86">
        <f>IF($B164="","",MONTH($B164))</f>
        <v/>
      </c>
      <c r="K164" s="2" t="n"/>
      <c r="L164" s="2" t="n"/>
      <c r="M164" s="2" t="n"/>
      <c r="N164" s="2" t="n"/>
      <c r="O164" s="2" t="n"/>
      <c r="P164" s="2" t="n"/>
    </row>
    <row r="165">
      <c r="A165" s="2" t="n"/>
      <c r="B165" s="84" t="n"/>
      <c r="C165" s="78" t="n"/>
      <c r="D165" s="78" t="n"/>
      <c r="E165" s="73" t="n"/>
      <c r="F165" s="77" t="n"/>
      <c r="G165" s="87">
        <f>IF(OR($E165="",$F165=""),"",ROUND($E165*$F165,2))</f>
        <v/>
      </c>
      <c r="H165" s="87">
        <f>IF($E165="","",ROUND($E165*(1+IF($F165="",0,$F165)),2))</f>
        <v/>
      </c>
      <c r="I165" s="69" t="n"/>
      <c r="J165" s="88">
        <f>IF($B165="","",MONTH($B165))</f>
        <v/>
      </c>
      <c r="K165" s="2" t="n"/>
      <c r="L165" s="2" t="n"/>
      <c r="M165" s="2" t="n"/>
      <c r="N165" s="2" t="n"/>
      <c r="O165" s="2" t="n"/>
      <c r="P165" s="2" t="n"/>
    </row>
    <row r="166">
      <c r="A166" s="2" t="n"/>
      <c r="B166" s="84" t="n"/>
      <c r="C166" s="78" t="n"/>
      <c r="D166" s="78" t="n"/>
      <c r="E166" s="73" t="n"/>
      <c r="F166" s="77" t="n"/>
      <c r="G166" s="85">
        <f>IF(OR($E166="",$F166=""),"",ROUND($E166*$F166,2))</f>
        <v/>
      </c>
      <c r="H166" s="85">
        <f>IF($E166="","",ROUND($E166*(1+IF($F166="",0,$F166)),2))</f>
        <v/>
      </c>
      <c r="I166" s="69" t="n"/>
      <c r="J166" s="86">
        <f>IF($B166="","",MONTH($B166))</f>
        <v/>
      </c>
      <c r="K166" s="2" t="n"/>
      <c r="L166" s="2" t="n"/>
      <c r="M166" s="2" t="n"/>
      <c r="N166" s="2" t="n"/>
      <c r="O166" s="2" t="n"/>
      <c r="P166" s="2" t="n"/>
    </row>
    <row r="167">
      <c r="A167" s="2" t="n"/>
      <c r="B167" s="84" t="n"/>
      <c r="C167" s="78" t="n"/>
      <c r="D167" s="78" t="n"/>
      <c r="E167" s="73" t="n"/>
      <c r="F167" s="77" t="n"/>
      <c r="G167" s="87">
        <f>IF(OR($E167="",$F167=""),"",ROUND($E167*$F167,2))</f>
        <v/>
      </c>
      <c r="H167" s="87">
        <f>IF($E167="","",ROUND($E167*(1+IF($F167="",0,$F167)),2))</f>
        <v/>
      </c>
      <c r="I167" s="69" t="n"/>
      <c r="J167" s="88">
        <f>IF($B167="","",MONTH($B167))</f>
        <v/>
      </c>
      <c r="K167" s="2" t="n"/>
      <c r="L167" s="2" t="n"/>
      <c r="M167" s="2" t="n"/>
      <c r="N167" s="2" t="n"/>
      <c r="O167" s="2" t="n"/>
      <c r="P167" s="2" t="n"/>
    </row>
    <row r="168">
      <c r="A168" s="2" t="n"/>
      <c r="B168" s="84" t="n"/>
      <c r="C168" s="78" t="n"/>
      <c r="D168" s="78" t="n"/>
      <c r="E168" s="73" t="n"/>
      <c r="F168" s="77" t="n"/>
      <c r="G168" s="85">
        <f>IF(OR($E168="",$F168=""),"",ROUND($E168*$F168,2))</f>
        <v/>
      </c>
      <c r="H168" s="85">
        <f>IF($E168="","",ROUND($E168*(1+IF($F168="",0,$F168)),2))</f>
        <v/>
      </c>
      <c r="I168" s="69" t="n"/>
      <c r="J168" s="86">
        <f>IF($B168="","",MONTH($B168))</f>
        <v/>
      </c>
      <c r="K168" s="2" t="n"/>
      <c r="L168" s="2" t="n"/>
      <c r="M168" s="2" t="n"/>
      <c r="N168" s="2" t="n"/>
      <c r="O168" s="2" t="n"/>
      <c r="P168" s="2" t="n"/>
    </row>
    <row r="169">
      <c r="A169" s="2" t="n"/>
      <c r="B169" s="84" t="n"/>
      <c r="C169" s="78" t="n"/>
      <c r="D169" s="78" t="n"/>
      <c r="E169" s="73" t="n"/>
      <c r="F169" s="77" t="n"/>
      <c r="G169" s="87">
        <f>IF(OR($E169="",$F169=""),"",ROUND($E169*$F169,2))</f>
        <v/>
      </c>
      <c r="H169" s="87">
        <f>IF($E169="","",ROUND($E169*(1+IF($F169="",0,$F169)),2))</f>
        <v/>
      </c>
      <c r="I169" s="69" t="n"/>
      <c r="J169" s="88">
        <f>IF($B169="","",MONTH($B169))</f>
        <v/>
      </c>
      <c r="K169" s="2" t="n"/>
      <c r="L169" s="2" t="n"/>
      <c r="M169" s="2" t="n"/>
      <c r="N169" s="2" t="n"/>
      <c r="O169" s="2" t="n"/>
      <c r="P169" s="2" t="n"/>
    </row>
    <row r="170">
      <c r="A170" s="2" t="n"/>
      <c r="B170" s="84" t="n"/>
      <c r="C170" s="78" t="n"/>
      <c r="D170" s="78" t="n"/>
      <c r="E170" s="73" t="n"/>
      <c r="F170" s="77" t="n"/>
      <c r="G170" s="85">
        <f>IF(OR($E170="",$F170=""),"",ROUND($E170*$F170,2))</f>
        <v/>
      </c>
      <c r="H170" s="85">
        <f>IF($E170="","",ROUND($E170*(1+IF($F170="",0,$F170)),2))</f>
        <v/>
      </c>
      <c r="I170" s="69" t="n"/>
      <c r="J170" s="86">
        <f>IF($B170="","",MONTH($B170))</f>
        <v/>
      </c>
      <c r="K170" s="2" t="n"/>
      <c r="L170" s="2" t="n"/>
      <c r="M170" s="2" t="n"/>
      <c r="N170" s="2" t="n"/>
      <c r="O170" s="2" t="n"/>
      <c r="P170" s="2" t="n"/>
    </row>
    <row r="171">
      <c r="A171" s="2" t="n"/>
      <c r="B171" s="84" t="n"/>
      <c r="C171" s="78" t="n"/>
      <c r="D171" s="78" t="n"/>
      <c r="E171" s="73" t="n"/>
      <c r="F171" s="77" t="n"/>
      <c r="G171" s="87">
        <f>IF(OR($E171="",$F171=""),"",ROUND($E171*$F171,2))</f>
        <v/>
      </c>
      <c r="H171" s="87">
        <f>IF($E171="","",ROUND($E171*(1+IF($F171="",0,$F171)),2))</f>
        <v/>
      </c>
      <c r="I171" s="69" t="n"/>
      <c r="J171" s="88">
        <f>IF($B171="","",MONTH($B171))</f>
        <v/>
      </c>
      <c r="K171" s="2" t="n"/>
      <c r="L171" s="2" t="n"/>
      <c r="M171" s="2" t="n"/>
      <c r="N171" s="2" t="n"/>
      <c r="O171" s="2" t="n"/>
      <c r="P171" s="2" t="n"/>
    </row>
    <row r="172">
      <c r="A172" s="2" t="n"/>
      <c r="B172" s="84" t="n"/>
      <c r="C172" s="78" t="n"/>
      <c r="D172" s="78" t="n"/>
      <c r="E172" s="73" t="n"/>
      <c r="F172" s="77" t="n"/>
      <c r="G172" s="85">
        <f>IF(OR($E172="",$F172=""),"",ROUND($E172*$F172,2))</f>
        <v/>
      </c>
      <c r="H172" s="85">
        <f>IF($E172="","",ROUND($E172*(1+IF($F172="",0,$F172)),2))</f>
        <v/>
      </c>
      <c r="I172" s="69" t="n"/>
      <c r="J172" s="86">
        <f>IF($B172="","",MONTH($B172))</f>
        <v/>
      </c>
      <c r="K172" s="2" t="n"/>
      <c r="L172" s="2" t="n"/>
      <c r="M172" s="2" t="n"/>
      <c r="N172" s="2" t="n"/>
      <c r="O172" s="2" t="n"/>
      <c r="P172" s="2" t="n"/>
    </row>
    <row r="173">
      <c r="A173" s="2" t="n"/>
      <c r="B173" s="84" t="n"/>
      <c r="C173" s="78" t="n"/>
      <c r="D173" s="78" t="n"/>
      <c r="E173" s="73" t="n"/>
      <c r="F173" s="77" t="n"/>
      <c r="G173" s="87">
        <f>IF(OR($E173="",$F173=""),"",ROUND($E173*$F173,2))</f>
        <v/>
      </c>
      <c r="H173" s="87">
        <f>IF($E173="","",ROUND($E173*(1+IF($F173="",0,$F173)),2))</f>
        <v/>
      </c>
      <c r="I173" s="69" t="n"/>
      <c r="J173" s="88">
        <f>IF($B173="","",MONTH($B173))</f>
        <v/>
      </c>
      <c r="K173" s="2" t="n"/>
      <c r="L173" s="2" t="n"/>
      <c r="M173" s="2" t="n"/>
      <c r="N173" s="2" t="n"/>
      <c r="O173" s="2" t="n"/>
      <c r="P173" s="2" t="n"/>
    </row>
    <row r="174">
      <c r="A174" s="2" t="n"/>
      <c r="B174" s="84" t="n"/>
      <c r="C174" s="78" t="n"/>
      <c r="D174" s="78" t="n"/>
      <c r="E174" s="73" t="n"/>
      <c r="F174" s="77" t="n"/>
      <c r="G174" s="85">
        <f>IF(OR($E174="",$F174=""),"",ROUND($E174*$F174,2))</f>
        <v/>
      </c>
      <c r="H174" s="85">
        <f>IF($E174="","",ROUND($E174*(1+IF($F174="",0,$F174)),2))</f>
        <v/>
      </c>
      <c r="I174" s="69" t="n"/>
      <c r="J174" s="86">
        <f>IF($B174="","",MONTH($B174))</f>
        <v/>
      </c>
      <c r="K174" s="2" t="n"/>
      <c r="L174" s="2" t="n"/>
      <c r="M174" s="2" t="n"/>
      <c r="N174" s="2" t="n"/>
      <c r="O174" s="2" t="n"/>
      <c r="P174" s="2" t="n"/>
    </row>
    <row r="175">
      <c r="A175" s="2" t="n"/>
      <c r="B175" s="84" t="n"/>
      <c r="C175" s="78" t="n"/>
      <c r="D175" s="78" t="n"/>
      <c r="E175" s="73" t="n"/>
      <c r="F175" s="77" t="n"/>
      <c r="G175" s="87">
        <f>IF(OR($E175="",$F175=""),"",ROUND($E175*$F175,2))</f>
        <v/>
      </c>
      <c r="H175" s="87">
        <f>IF($E175="","",ROUND($E175*(1+IF($F175="",0,$F175)),2))</f>
        <v/>
      </c>
      <c r="I175" s="69" t="n"/>
      <c r="J175" s="88">
        <f>IF($B175="","",MONTH($B175))</f>
        <v/>
      </c>
      <c r="K175" s="2" t="n"/>
      <c r="L175" s="2" t="n"/>
      <c r="M175" s="2" t="n"/>
      <c r="N175" s="2" t="n"/>
      <c r="O175" s="2" t="n"/>
      <c r="P175" s="2" t="n"/>
    </row>
    <row r="176">
      <c r="A176" s="2" t="n"/>
      <c r="B176" s="84" t="n"/>
      <c r="C176" s="78" t="n"/>
      <c r="D176" s="78" t="n"/>
      <c r="E176" s="73" t="n"/>
      <c r="F176" s="77" t="n"/>
      <c r="G176" s="85">
        <f>IF(OR($E176="",$F176=""),"",ROUND($E176*$F176,2))</f>
        <v/>
      </c>
      <c r="H176" s="85">
        <f>IF($E176="","",ROUND($E176*(1+IF($F176="",0,$F176)),2))</f>
        <v/>
      </c>
      <c r="I176" s="69" t="n"/>
      <c r="J176" s="86">
        <f>IF($B176="","",MONTH($B176))</f>
        <v/>
      </c>
      <c r="K176" s="2" t="n"/>
      <c r="L176" s="2" t="n"/>
      <c r="M176" s="2" t="n"/>
      <c r="N176" s="2" t="n"/>
      <c r="O176" s="2" t="n"/>
      <c r="P176" s="2" t="n"/>
    </row>
    <row r="177">
      <c r="A177" s="2" t="n"/>
      <c r="B177" s="84" t="n"/>
      <c r="C177" s="78" t="n"/>
      <c r="D177" s="78" t="n"/>
      <c r="E177" s="73" t="n"/>
      <c r="F177" s="77" t="n"/>
      <c r="G177" s="87">
        <f>IF(OR($E177="",$F177=""),"",ROUND($E177*$F177,2))</f>
        <v/>
      </c>
      <c r="H177" s="87">
        <f>IF($E177="","",ROUND($E177*(1+IF($F177="",0,$F177)),2))</f>
        <v/>
      </c>
      <c r="I177" s="69" t="n"/>
      <c r="J177" s="88">
        <f>IF($B177="","",MONTH($B177))</f>
        <v/>
      </c>
      <c r="K177" s="2" t="n"/>
      <c r="L177" s="2" t="n"/>
      <c r="M177" s="2" t="n"/>
      <c r="N177" s="2" t="n"/>
      <c r="O177" s="2" t="n"/>
      <c r="P177" s="2" t="n"/>
    </row>
    <row r="178">
      <c r="A178" s="2" t="n"/>
      <c r="B178" s="84" t="n"/>
      <c r="C178" s="78" t="n"/>
      <c r="D178" s="78" t="n"/>
      <c r="E178" s="73" t="n"/>
      <c r="F178" s="77" t="n"/>
      <c r="G178" s="85">
        <f>IF(OR($E178="",$F178=""),"",ROUND($E178*$F178,2))</f>
        <v/>
      </c>
      <c r="H178" s="85">
        <f>IF($E178="","",ROUND($E178*(1+IF($F178="",0,$F178)),2))</f>
        <v/>
      </c>
      <c r="I178" s="69" t="n"/>
      <c r="J178" s="86">
        <f>IF($B178="","",MONTH($B178))</f>
        <v/>
      </c>
      <c r="K178" s="2" t="n"/>
      <c r="L178" s="2" t="n"/>
      <c r="M178" s="2" t="n"/>
      <c r="N178" s="2" t="n"/>
      <c r="O178" s="2" t="n"/>
      <c r="P178" s="2" t="n"/>
    </row>
    <row r="179">
      <c r="A179" s="2" t="n"/>
      <c r="B179" s="84" t="n"/>
      <c r="C179" s="78" t="n"/>
      <c r="D179" s="78" t="n"/>
      <c r="E179" s="73" t="n"/>
      <c r="F179" s="77" t="n"/>
      <c r="G179" s="87">
        <f>IF(OR($E179="",$F179=""),"",ROUND($E179*$F179,2))</f>
        <v/>
      </c>
      <c r="H179" s="87">
        <f>IF($E179="","",ROUND($E179*(1+IF($F179="",0,$F179)),2))</f>
        <v/>
      </c>
      <c r="I179" s="69" t="n"/>
      <c r="J179" s="88">
        <f>IF($B179="","",MONTH($B179))</f>
        <v/>
      </c>
      <c r="K179" s="2" t="n"/>
      <c r="L179" s="2" t="n"/>
      <c r="M179" s="2" t="n"/>
      <c r="N179" s="2" t="n"/>
      <c r="O179" s="2" t="n"/>
      <c r="P179" s="2" t="n"/>
    </row>
    <row r="180">
      <c r="A180" s="2" t="n"/>
      <c r="B180" s="84" t="n"/>
      <c r="C180" s="78" t="n"/>
      <c r="D180" s="78" t="n"/>
      <c r="E180" s="73" t="n"/>
      <c r="F180" s="77" t="n"/>
      <c r="G180" s="85">
        <f>IF(OR($E180="",$F180=""),"",ROUND($E180*$F180,2))</f>
        <v/>
      </c>
      <c r="H180" s="85">
        <f>IF($E180="","",ROUND($E180*(1+IF($F180="",0,$F180)),2))</f>
        <v/>
      </c>
      <c r="I180" s="69" t="n"/>
      <c r="J180" s="86">
        <f>IF($B180="","",MONTH($B180))</f>
        <v/>
      </c>
      <c r="K180" s="2" t="n"/>
      <c r="L180" s="2" t="n"/>
      <c r="M180" s="2" t="n"/>
      <c r="N180" s="2" t="n"/>
      <c r="O180" s="2" t="n"/>
      <c r="P180" s="2" t="n"/>
    </row>
    <row r="181">
      <c r="A181" s="2" t="n"/>
      <c r="B181" s="84" t="n"/>
      <c r="C181" s="78" t="n"/>
      <c r="D181" s="78" t="n"/>
      <c r="E181" s="73" t="n"/>
      <c r="F181" s="77" t="n"/>
      <c r="G181" s="87">
        <f>IF(OR($E181="",$F181=""),"",ROUND($E181*$F181,2))</f>
        <v/>
      </c>
      <c r="H181" s="87">
        <f>IF($E181="","",ROUND($E181*(1+IF($F181="",0,$F181)),2))</f>
        <v/>
      </c>
      <c r="I181" s="69" t="n"/>
      <c r="J181" s="88">
        <f>IF($B181="","",MONTH($B181))</f>
        <v/>
      </c>
      <c r="K181" s="2" t="n"/>
      <c r="L181" s="2" t="n"/>
      <c r="M181" s="2" t="n"/>
      <c r="N181" s="2" t="n"/>
      <c r="O181" s="2" t="n"/>
      <c r="P181" s="2" t="n"/>
    </row>
    <row r="182">
      <c r="A182" s="2" t="n"/>
      <c r="B182" s="84" t="n"/>
      <c r="C182" s="78" t="n"/>
      <c r="D182" s="78" t="n"/>
      <c r="E182" s="73" t="n"/>
      <c r="F182" s="77" t="n"/>
      <c r="G182" s="85">
        <f>IF(OR($E182="",$F182=""),"",ROUND($E182*$F182,2))</f>
        <v/>
      </c>
      <c r="H182" s="85">
        <f>IF($E182="","",ROUND($E182*(1+IF($F182="",0,$F182)),2))</f>
        <v/>
      </c>
      <c r="I182" s="69" t="n"/>
      <c r="J182" s="86">
        <f>IF($B182="","",MONTH($B182))</f>
        <v/>
      </c>
      <c r="K182" s="2" t="n"/>
      <c r="L182" s="2" t="n"/>
      <c r="M182" s="2" t="n"/>
      <c r="N182" s="2" t="n"/>
      <c r="O182" s="2" t="n"/>
      <c r="P182" s="2" t="n"/>
    </row>
    <row r="183">
      <c r="A183" s="2" t="n"/>
      <c r="B183" s="84" t="n"/>
      <c r="C183" s="78" t="n"/>
      <c r="D183" s="78" t="n"/>
      <c r="E183" s="73" t="n"/>
      <c r="F183" s="77" t="n"/>
      <c r="G183" s="87">
        <f>IF(OR($E183="",$F183=""),"",ROUND($E183*$F183,2))</f>
        <v/>
      </c>
      <c r="H183" s="87">
        <f>IF($E183="","",ROUND($E183*(1+IF($F183="",0,$F183)),2))</f>
        <v/>
      </c>
      <c r="I183" s="69" t="n"/>
      <c r="J183" s="88">
        <f>IF($B183="","",MONTH($B183))</f>
        <v/>
      </c>
      <c r="K183" s="2" t="n"/>
      <c r="L183" s="2" t="n"/>
      <c r="M183" s="2" t="n"/>
      <c r="N183" s="2" t="n"/>
      <c r="O183" s="2" t="n"/>
      <c r="P183" s="2" t="n"/>
    </row>
    <row r="184">
      <c r="A184" s="2" t="n"/>
      <c r="B184" s="84" t="n"/>
      <c r="C184" s="78" t="n"/>
      <c r="D184" s="78" t="n"/>
      <c r="E184" s="73" t="n"/>
      <c r="F184" s="77" t="n"/>
      <c r="G184" s="85">
        <f>IF(OR($E184="",$F184=""),"",ROUND($E184*$F184,2))</f>
        <v/>
      </c>
      <c r="H184" s="85">
        <f>IF($E184="","",ROUND($E184*(1+IF($F184="",0,$F184)),2))</f>
        <v/>
      </c>
      <c r="I184" s="69" t="n"/>
      <c r="J184" s="86">
        <f>IF($B184="","",MONTH($B184))</f>
        <v/>
      </c>
      <c r="K184" s="2" t="n"/>
      <c r="L184" s="2" t="n"/>
      <c r="M184" s="2" t="n"/>
      <c r="N184" s="2" t="n"/>
      <c r="O184" s="2" t="n"/>
      <c r="P184" s="2" t="n"/>
    </row>
    <row r="185">
      <c r="A185" s="2" t="n"/>
      <c r="B185" s="84" t="n"/>
      <c r="C185" s="78" t="n"/>
      <c r="D185" s="78" t="n"/>
      <c r="E185" s="73" t="n"/>
      <c r="F185" s="77" t="n"/>
      <c r="G185" s="87">
        <f>IF(OR($E185="",$F185=""),"",ROUND($E185*$F185,2))</f>
        <v/>
      </c>
      <c r="H185" s="87">
        <f>IF($E185="","",ROUND($E185*(1+IF($F185="",0,$F185)),2))</f>
        <v/>
      </c>
      <c r="I185" s="69" t="n"/>
      <c r="J185" s="88">
        <f>IF($B185="","",MONTH($B185))</f>
        <v/>
      </c>
      <c r="K185" s="2" t="n"/>
      <c r="L185" s="2" t="n"/>
      <c r="M185" s="2" t="n"/>
      <c r="N185" s="2" t="n"/>
      <c r="O185" s="2" t="n"/>
      <c r="P185" s="2" t="n"/>
    </row>
    <row r="186">
      <c r="A186" s="2" t="n"/>
      <c r="B186" s="84" t="n"/>
      <c r="C186" s="78" t="n"/>
      <c r="D186" s="78" t="n"/>
      <c r="E186" s="73" t="n"/>
      <c r="F186" s="77" t="n"/>
      <c r="G186" s="85">
        <f>IF(OR($E186="",$F186=""),"",ROUND($E186*$F186,2))</f>
        <v/>
      </c>
      <c r="H186" s="85">
        <f>IF($E186="","",ROUND($E186*(1+IF($F186="",0,$F186)),2))</f>
        <v/>
      </c>
      <c r="I186" s="69" t="n"/>
      <c r="J186" s="86">
        <f>IF($B186="","",MONTH($B186))</f>
        <v/>
      </c>
      <c r="K186" s="2" t="n"/>
      <c r="L186" s="2" t="n"/>
      <c r="M186" s="2" t="n"/>
      <c r="N186" s="2" t="n"/>
      <c r="O186" s="2" t="n"/>
      <c r="P186" s="2" t="n"/>
    </row>
    <row r="187">
      <c r="A187" s="2" t="n"/>
      <c r="B187" s="84" t="n"/>
      <c r="C187" s="78" t="n"/>
      <c r="D187" s="78" t="n"/>
      <c r="E187" s="73" t="n"/>
      <c r="F187" s="77" t="n"/>
      <c r="G187" s="87">
        <f>IF(OR($E187="",$F187=""),"",ROUND($E187*$F187,2))</f>
        <v/>
      </c>
      <c r="H187" s="87">
        <f>IF($E187="","",ROUND($E187*(1+IF($F187="",0,$F187)),2))</f>
        <v/>
      </c>
      <c r="I187" s="69" t="n"/>
      <c r="J187" s="88">
        <f>IF($B187="","",MONTH($B187))</f>
        <v/>
      </c>
      <c r="K187" s="2" t="n"/>
      <c r="L187" s="2" t="n"/>
      <c r="M187" s="2" t="n"/>
      <c r="N187" s="2" t="n"/>
      <c r="O187" s="2" t="n"/>
      <c r="P187" s="2" t="n"/>
    </row>
    <row r="188">
      <c r="A188" s="2" t="n"/>
      <c r="B188" s="84" t="n"/>
      <c r="C188" s="78" t="n"/>
      <c r="D188" s="78" t="n"/>
      <c r="E188" s="73" t="n"/>
      <c r="F188" s="77" t="n"/>
      <c r="G188" s="85">
        <f>IF(OR($E188="",$F188=""),"",ROUND($E188*$F188,2))</f>
        <v/>
      </c>
      <c r="H188" s="85">
        <f>IF($E188="","",ROUND($E188*(1+IF($F188="",0,$F188)),2))</f>
        <v/>
      </c>
      <c r="I188" s="69" t="n"/>
      <c r="J188" s="86">
        <f>IF($B188="","",MONTH($B188))</f>
        <v/>
      </c>
      <c r="K188" s="2" t="n"/>
      <c r="L188" s="2" t="n"/>
      <c r="M188" s="2" t="n"/>
      <c r="N188" s="2" t="n"/>
      <c r="O188" s="2" t="n"/>
      <c r="P188" s="2" t="n"/>
    </row>
    <row r="189">
      <c r="A189" s="2" t="n"/>
      <c r="B189" s="84" t="n"/>
      <c r="C189" s="78" t="n"/>
      <c r="D189" s="78" t="n"/>
      <c r="E189" s="73" t="n"/>
      <c r="F189" s="77" t="n"/>
      <c r="G189" s="87">
        <f>IF(OR($E189="",$F189=""),"",ROUND($E189*$F189,2))</f>
        <v/>
      </c>
      <c r="H189" s="87">
        <f>IF($E189="","",ROUND($E189*(1+IF($F189="",0,$F189)),2))</f>
        <v/>
      </c>
      <c r="I189" s="69" t="n"/>
      <c r="J189" s="88">
        <f>IF($B189="","",MONTH($B189))</f>
        <v/>
      </c>
      <c r="K189" s="2" t="n"/>
      <c r="L189" s="2" t="n"/>
      <c r="M189" s="2" t="n"/>
      <c r="N189" s="2" t="n"/>
      <c r="O189" s="2" t="n"/>
      <c r="P189" s="2" t="n"/>
    </row>
    <row r="190">
      <c r="A190" s="2" t="n"/>
      <c r="B190" s="84" t="n"/>
      <c r="C190" s="78" t="n"/>
      <c r="D190" s="78" t="n"/>
      <c r="E190" s="73" t="n"/>
      <c r="F190" s="77" t="n"/>
      <c r="G190" s="85">
        <f>IF(OR($E190="",$F190=""),"",ROUND($E190*$F190,2))</f>
        <v/>
      </c>
      <c r="H190" s="85">
        <f>IF($E190="","",ROUND($E190*(1+IF($F190="",0,$F190)),2))</f>
        <v/>
      </c>
      <c r="I190" s="69" t="n"/>
      <c r="J190" s="86">
        <f>IF($B190="","",MONTH($B190))</f>
        <v/>
      </c>
      <c r="K190" s="2" t="n"/>
      <c r="L190" s="2" t="n"/>
      <c r="M190" s="2" t="n"/>
      <c r="N190" s="2" t="n"/>
      <c r="O190" s="2" t="n"/>
      <c r="P190" s="2" t="n"/>
    </row>
    <row r="191">
      <c r="A191" s="2" t="n"/>
      <c r="B191" s="84" t="n"/>
      <c r="C191" s="78" t="n"/>
      <c r="D191" s="78" t="n"/>
      <c r="E191" s="73" t="n"/>
      <c r="F191" s="77" t="n"/>
      <c r="G191" s="87">
        <f>IF(OR($E191="",$F191=""),"",ROUND($E191*$F191,2))</f>
        <v/>
      </c>
      <c r="H191" s="87">
        <f>IF($E191="","",ROUND($E191*(1+IF($F191="",0,$F191)),2))</f>
        <v/>
      </c>
      <c r="I191" s="69" t="n"/>
      <c r="J191" s="88">
        <f>IF($B191="","",MONTH($B191))</f>
        <v/>
      </c>
      <c r="K191" s="2" t="n"/>
      <c r="L191" s="2" t="n"/>
      <c r="M191" s="2" t="n"/>
      <c r="N191" s="2" t="n"/>
      <c r="O191" s="2" t="n"/>
      <c r="P191" s="2" t="n"/>
    </row>
    <row r="192">
      <c r="A192" s="2" t="n"/>
      <c r="B192" s="84" t="n"/>
      <c r="C192" s="78" t="n"/>
      <c r="D192" s="78" t="n"/>
      <c r="E192" s="73" t="n"/>
      <c r="F192" s="77" t="n"/>
      <c r="G192" s="85">
        <f>IF(OR($E192="",$F192=""),"",ROUND($E192*$F192,2))</f>
        <v/>
      </c>
      <c r="H192" s="85">
        <f>IF($E192="","",ROUND($E192*(1+IF($F192="",0,$F192)),2))</f>
        <v/>
      </c>
      <c r="I192" s="69" t="n"/>
      <c r="J192" s="86">
        <f>IF($B192="","",MONTH($B192))</f>
        <v/>
      </c>
      <c r="K192" s="2" t="n"/>
      <c r="L192" s="2" t="n"/>
      <c r="M192" s="2" t="n"/>
      <c r="N192" s="2" t="n"/>
      <c r="O192" s="2" t="n"/>
      <c r="P192" s="2" t="n"/>
    </row>
    <row r="193">
      <c r="A193" s="2" t="n"/>
      <c r="B193" s="84" t="n"/>
      <c r="C193" s="78" t="n"/>
      <c r="D193" s="78" t="n"/>
      <c r="E193" s="73" t="n"/>
      <c r="F193" s="77" t="n"/>
      <c r="G193" s="87">
        <f>IF(OR($E193="",$F193=""),"",ROUND($E193*$F193,2))</f>
        <v/>
      </c>
      <c r="H193" s="87">
        <f>IF($E193="","",ROUND($E193*(1+IF($F193="",0,$F193)),2))</f>
        <v/>
      </c>
      <c r="I193" s="69" t="n"/>
      <c r="J193" s="88">
        <f>IF($B193="","",MONTH($B193))</f>
        <v/>
      </c>
      <c r="K193" s="2" t="n"/>
      <c r="L193" s="2" t="n"/>
      <c r="M193" s="2" t="n"/>
      <c r="N193" s="2" t="n"/>
      <c r="O193" s="2" t="n"/>
      <c r="P193" s="2" t="n"/>
    </row>
    <row r="194">
      <c r="A194" s="2" t="n"/>
      <c r="B194" s="84" t="n"/>
      <c r="C194" s="78" t="n"/>
      <c r="D194" s="78" t="n"/>
      <c r="E194" s="73" t="n"/>
      <c r="F194" s="77" t="n"/>
      <c r="G194" s="85">
        <f>IF(OR($E194="",$F194=""),"",ROUND($E194*$F194,2))</f>
        <v/>
      </c>
      <c r="H194" s="85">
        <f>IF($E194="","",ROUND($E194*(1+IF($F194="",0,$F194)),2))</f>
        <v/>
      </c>
      <c r="I194" s="69" t="n"/>
      <c r="J194" s="86">
        <f>IF($B194="","",MONTH($B194))</f>
        <v/>
      </c>
      <c r="K194" s="2" t="n"/>
      <c r="L194" s="2" t="n"/>
      <c r="M194" s="2" t="n"/>
      <c r="N194" s="2" t="n"/>
      <c r="O194" s="2" t="n"/>
      <c r="P194" s="2" t="n"/>
    </row>
    <row r="195">
      <c r="A195" s="2" t="n"/>
      <c r="B195" s="84" t="n"/>
      <c r="C195" s="78" t="n"/>
      <c r="D195" s="78" t="n"/>
      <c r="E195" s="73" t="n"/>
      <c r="F195" s="77" t="n"/>
      <c r="G195" s="87">
        <f>IF(OR($E195="",$F195=""),"",ROUND($E195*$F195,2))</f>
        <v/>
      </c>
      <c r="H195" s="87">
        <f>IF($E195="","",ROUND($E195*(1+IF($F195="",0,$F195)),2))</f>
        <v/>
      </c>
      <c r="I195" s="69" t="n"/>
      <c r="J195" s="88">
        <f>IF($B195="","",MONTH($B195))</f>
        <v/>
      </c>
      <c r="K195" s="2" t="n"/>
      <c r="L195" s="2" t="n"/>
      <c r="M195" s="2" t="n"/>
      <c r="N195" s="2" t="n"/>
      <c r="O195" s="2" t="n"/>
      <c r="P195" s="2" t="n"/>
    </row>
    <row r="196">
      <c r="A196" s="2" t="n"/>
      <c r="B196" s="84" t="n"/>
      <c r="C196" s="78" t="n"/>
      <c r="D196" s="78" t="n"/>
      <c r="E196" s="73" t="n"/>
      <c r="F196" s="77" t="n"/>
      <c r="G196" s="85">
        <f>IF(OR($E196="",$F196=""),"",ROUND($E196*$F196,2))</f>
        <v/>
      </c>
      <c r="H196" s="85">
        <f>IF($E196="","",ROUND($E196*(1+IF($F196="",0,$F196)),2))</f>
        <v/>
      </c>
      <c r="I196" s="69" t="n"/>
      <c r="J196" s="86">
        <f>IF($B196="","",MONTH($B196))</f>
        <v/>
      </c>
      <c r="K196" s="2" t="n"/>
      <c r="L196" s="2" t="n"/>
      <c r="M196" s="2" t="n"/>
      <c r="N196" s="2" t="n"/>
      <c r="O196" s="2" t="n"/>
      <c r="P196" s="2" t="n"/>
    </row>
    <row r="197">
      <c r="A197" s="2" t="n"/>
      <c r="B197" s="84" t="n"/>
      <c r="C197" s="78" t="n"/>
      <c r="D197" s="78" t="n"/>
      <c r="E197" s="73" t="n"/>
      <c r="F197" s="77" t="n"/>
      <c r="G197" s="87">
        <f>IF(OR($E197="",$F197=""),"",ROUND($E197*$F197,2))</f>
        <v/>
      </c>
      <c r="H197" s="87">
        <f>IF($E197="","",ROUND($E197*(1+IF($F197="",0,$F197)),2))</f>
        <v/>
      </c>
      <c r="I197" s="69" t="n"/>
      <c r="J197" s="88">
        <f>IF($B197="","",MONTH($B197))</f>
        <v/>
      </c>
      <c r="K197" s="2" t="n"/>
      <c r="L197" s="2" t="n"/>
      <c r="M197" s="2" t="n"/>
      <c r="N197" s="2" t="n"/>
      <c r="O197" s="2" t="n"/>
      <c r="P197" s="2" t="n"/>
    </row>
    <row r="198">
      <c r="A198" s="2" t="n"/>
      <c r="B198" s="84" t="n"/>
      <c r="C198" s="78" t="n"/>
      <c r="D198" s="78" t="n"/>
      <c r="E198" s="73" t="n"/>
      <c r="F198" s="77" t="n"/>
      <c r="G198" s="85">
        <f>IF(OR($E198="",$F198=""),"",ROUND($E198*$F198,2))</f>
        <v/>
      </c>
      <c r="H198" s="85">
        <f>IF($E198="","",ROUND($E198*(1+IF($F198="",0,$F198)),2))</f>
        <v/>
      </c>
      <c r="I198" s="69" t="n"/>
      <c r="J198" s="86">
        <f>IF($B198="","",MONTH($B198))</f>
        <v/>
      </c>
      <c r="K198" s="2" t="n"/>
      <c r="L198" s="2" t="n"/>
      <c r="M198" s="2" t="n"/>
      <c r="N198" s="2" t="n"/>
      <c r="O198" s="2" t="n"/>
      <c r="P198" s="2" t="n"/>
    </row>
    <row r="199">
      <c r="A199" s="2" t="n"/>
      <c r="B199" s="84" t="n"/>
      <c r="C199" s="78" t="n"/>
      <c r="D199" s="78" t="n"/>
      <c r="E199" s="73" t="n"/>
      <c r="F199" s="77" t="n"/>
      <c r="G199" s="87">
        <f>IF(OR($E199="",$F199=""),"",ROUND($E199*$F199,2))</f>
        <v/>
      </c>
      <c r="H199" s="87">
        <f>IF($E199="","",ROUND($E199*(1+IF($F199="",0,$F199)),2))</f>
        <v/>
      </c>
      <c r="I199" s="69" t="n"/>
      <c r="J199" s="88">
        <f>IF($B199="","",MONTH($B199))</f>
        <v/>
      </c>
      <c r="K199" s="2" t="n"/>
      <c r="L199" s="2" t="n"/>
      <c r="M199" s="2" t="n"/>
      <c r="N199" s="2" t="n"/>
      <c r="O199" s="2" t="n"/>
      <c r="P199" s="2" t="n"/>
    </row>
    <row r="200">
      <c r="A200" s="2" t="n"/>
      <c r="B200" s="84" t="n"/>
      <c r="C200" s="78" t="n"/>
      <c r="D200" s="78" t="n"/>
      <c r="E200" s="73" t="n"/>
      <c r="F200" s="77" t="n"/>
      <c r="G200" s="85">
        <f>IF(OR($E200="",$F200=""),"",ROUND($E200*$F200,2))</f>
        <v/>
      </c>
      <c r="H200" s="85">
        <f>IF($E200="","",ROUND($E200*(1+IF($F200="",0,$F200)),2))</f>
        <v/>
      </c>
      <c r="I200" s="69" t="n"/>
      <c r="J200" s="86">
        <f>IF($B200="","",MONTH($B200))</f>
        <v/>
      </c>
      <c r="K200" s="2" t="n"/>
      <c r="L200" s="2" t="n"/>
      <c r="M200" s="2" t="n"/>
      <c r="N200" s="2" t="n"/>
      <c r="O200" s="2" t="n"/>
      <c r="P200" s="2" t="n"/>
    </row>
    <row r="201">
      <c r="A201" s="2" t="n"/>
      <c r="B201" s="84" t="n"/>
      <c r="C201" s="78" t="n"/>
      <c r="D201" s="78" t="n"/>
      <c r="E201" s="73" t="n"/>
      <c r="F201" s="77" t="n"/>
      <c r="G201" s="87">
        <f>IF(OR($E201="",$F201=""),"",ROUND($E201*$F201,2))</f>
        <v/>
      </c>
      <c r="H201" s="87">
        <f>IF($E201="","",ROUND($E201*(1+IF($F201="",0,$F201)),2))</f>
        <v/>
      </c>
      <c r="I201" s="69" t="n"/>
      <c r="J201" s="88">
        <f>IF($B201="","",MONTH($B201))</f>
        <v/>
      </c>
      <c r="K201" s="2" t="n"/>
      <c r="L201" s="2" t="n"/>
      <c r="M201" s="2" t="n"/>
      <c r="N201" s="2" t="n"/>
      <c r="O201" s="2" t="n"/>
      <c r="P201" s="2" t="n"/>
    </row>
    <row r="202">
      <c r="A202" s="2" t="n"/>
      <c r="B202" s="84" t="n"/>
      <c r="C202" s="78" t="n"/>
      <c r="D202" s="78" t="n"/>
      <c r="E202" s="73" t="n"/>
      <c r="F202" s="77" t="n"/>
      <c r="G202" s="85">
        <f>IF(OR($E202="",$F202=""),"",ROUND($E202*$F202,2))</f>
        <v/>
      </c>
      <c r="H202" s="85">
        <f>IF($E202="","",ROUND($E202*(1+IF($F202="",0,$F202)),2))</f>
        <v/>
      </c>
      <c r="I202" s="69" t="n"/>
      <c r="J202" s="86">
        <f>IF($B202="","",MONTH($B202))</f>
        <v/>
      </c>
      <c r="K202" s="2" t="n"/>
      <c r="L202" s="2" t="n"/>
      <c r="M202" s="2" t="n"/>
      <c r="N202" s="2" t="n"/>
      <c r="O202" s="2" t="n"/>
      <c r="P202" s="2" t="n"/>
    </row>
    <row r="203">
      <c r="A203" s="2" t="n"/>
      <c r="B203" s="84" t="n"/>
      <c r="C203" s="78" t="n"/>
      <c r="D203" s="78" t="n"/>
      <c r="E203" s="73" t="n"/>
      <c r="F203" s="77" t="n"/>
      <c r="G203" s="87">
        <f>IF(OR($E203="",$F203=""),"",ROUND($E203*$F203,2))</f>
        <v/>
      </c>
      <c r="H203" s="87">
        <f>IF($E203="","",ROUND($E203*(1+IF($F203="",0,$F203)),2))</f>
        <v/>
      </c>
      <c r="I203" s="69" t="n"/>
      <c r="J203" s="88">
        <f>IF($B203="","",MONTH($B203))</f>
        <v/>
      </c>
      <c r="K203" s="2" t="n"/>
      <c r="L203" s="2" t="n"/>
      <c r="M203" s="2" t="n"/>
      <c r="N203" s="2" t="n"/>
      <c r="O203" s="2" t="n"/>
      <c r="P203" s="2" t="n"/>
    </row>
    <row r="204">
      <c r="A204" s="2" t="n"/>
      <c r="B204" s="84" t="n"/>
      <c r="C204" s="78" t="n"/>
      <c r="D204" s="78" t="n"/>
      <c r="E204" s="73" t="n"/>
      <c r="F204" s="77" t="n"/>
      <c r="G204" s="85">
        <f>IF(OR($E204="",$F204=""),"",ROUND($E204*$F204,2))</f>
        <v/>
      </c>
      <c r="H204" s="85">
        <f>IF($E204="","",ROUND($E204*(1+IF($F204="",0,$F204)),2))</f>
        <v/>
      </c>
      <c r="I204" s="69" t="n"/>
      <c r="J204" s="86">
        <f>IF($B204="","",MONTH($B204))</f>
        <v/>
      </c>
      <c r="K204" s="2" t="n"/>
      <c r="L204" s="2" t="n"/>
      <c r="M204" s="2" t="n"/>
      <c r="N204" s="2" t="n"/>
      <c r="O204" s="2" t="n"/>
      <c r="P204" s="2" t="n"/>
    </row>
    <row r="205">
      <c r="A205" s="2" t="n"/>
      <c r="B205" s="84" t="n"/>
      <c r="C205" s="78" t="n"/>
      <c r="D205" s="78" t="n"/>
      <c r="E205" s="73" t="n"/>
      <c r="F205" s="77" t="n"/>
      <c r="G205" s="87">
        <f>IF(OR($E205="",$F205=""),"",ROUND($E205*$F205,2))</f>
        <v/>
      </c>
      <c r="H205" s="87">
        <f>IF($E205="","",ROUND($E205*(1+IF($F205="",0,$F205)),2))</f>
        <v/>
      </c>
      <c r="I205" s="69" t="n"/>
      <c r="J205" s="88">
        <f>IF($B205="","",MONTH($B205))</f>
        <v/>
      </c>
      <c r="K205" s="2" t="n"/>
      <c r="L205" s="2" t="n"/>
      <c r="M205" s="2" t="n"/>
      <c r="N205" s="2" t="n"/>
      <c r="O205" s="2" t="n"/>
      <c r="P205" s="2" t="n"/>
    </row>
    <row r="206">
      <c r="A206" s="2" t="n"/>
      <c r="B206" s="84" t="n"/>
      <c r="C206" s="78" t="n"/>
      <c r="D206" s="78" t="n"/>
      <c r="E206" s="73" t="n"/>
      <c r="F206" s="77" t="n"/>
      <c r="G206" s="85">
        <f>IF(OR($E206="",$F206=""),"",ROUND($E206*$F206,2))</f>
        <v/>
      </c>
      <c r="H206" s="85">
        <f>IF($E206="","",ROUND($E206*(1+IF($F206="",0,$F206)),2))</f>
        <v/>
      </c>
      <c r="I206" s="69" t="n"/>
      <c r="J206" s="86">
        <f>IF($B206="","",MONTH($B206))</f>
        <v/>
      </c>
      <c r="K206" s="2" t="n"/>
      <c r="L206" s="2" t="n"/>
      <c r="M206" s="2" t="n"/>
      <c r="N206" s="2" t="n"/>
      <c r="O206" s="2" t="n"/>
      <c r="P206" s="2" t="n"/>
    </row>
    <row r="207">
      <c r="A207" s="2" t="n"/>
      <c r="B207" s="84" t="n"/>
      <c r="C207" s="78" t="n"/>
      <c r="D207" s="78" t="n"/>
      <c r="E207" s="73" t="n"/>
      <c r="F207" s="77" t="n"/>
      <c r="G207" s="87">
        <f>IF(OR($E207="",$F207=""),"",ROUND($E207*$F207,2))</f>
        <v/>
      </c>
      <c r="H207" s="87">
        <f>IF($E207="","",ROUND($E207*(1+IF($F207="",0,$F207)),2))</f>
        <v/>
      </c>
      <c r="I207" s="69" t="n"/>
      <c r="J207" s="88">
        <f>IF($B207="","",MONTH($B207))</f>
        <v/>
      </c>
      <c r="K207" s="2" t="n"/>
      <c r="L207" s="2" t="n"/>
      <c r="M207" s="2" t="n"/>
      <c r="N207" s="2" t="n"/>
      <c r="O207" s="2" t="n"/>
      <c r="P207" s="2" t="n"/>
    </row>
    <row r="208">
      <c r="A208" s="2" t="n"/>
      <c r="B208" s="84" t="n"/>
      <c r="C208" s="78" t="n"/>
      <c r="D208" s="78" t="n"/>
      <c r="E208" s="73" t="n"/>
      <c r="F208" s="77" t="n"/>
      <c r="G208" s="85">
        <f>IF(OR($E208="",$F208=""),"",ROUND($E208*$F208,2))</f>
        <v/>
      </c>
      <c r="H208" s="85">
        <f>IF($E208="","",ROUND($E208*(1+IF($F208="",0,$F208)),2))</f>
        <v/>
      </c>
      <c r="I208" s="69" t="n"/>
      <c r="J208" s="86">
        <f>IF($B208="","",MONTH($B208))</f>
        <v/>
      </c>
      <c r="K208" s="2" t="n"/>
      <c r="L208" s="2" t="n"/>
      <c r="M208" s="2" t="n"/>
      <c r="N208" s="2" t="n"/>
      <c r="O208" s="2" t="n"/>
      <c r="P208" s="2" t="n"/>
    </row>
    <row r="209">
      <c r="A209" s="2" t="n"/>
      <c r="B209" s="84" t="n"/>
      <c r="C209" s="78" t="n"/>
      <c r="D209" s="78" t="n"/>
      <c r="E209" s="73" t="n"/>
      <c r="F209" s="77" t="n"/>
      <c r="G209" s="87">
        <f>IF(OR($E209="",$F209=""),"",ROUND($E209*$F209,2))</f>
        <v/>
      </c>
      <c r="H209" s="87">
        <f>IF($E209="","",ROUND($E209*(1+IF($F209="",0,$F209)),2))</f>
        <v/>
      </c>
      <c r="I209" s="69" t="n"/>
      <c r="J209" s="88">
        <f>IF($B209="","",MONTH($B209))</f>
        <v/>
      </c>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sheetData>
  <mergeCells count="3">
    <mergeCell ref="A1:O1"/>
    <mergeCell ref="B3:O3"/>
    <mergeCell ref="A2:O2"/>
  </mergeCells>
  <dataValidations count="2">
    <dataValidation sqref="F10:F209" showDropDown="0" showInputMessage="0" showErrorMessage="0" allowBlank="1" type="list">
      <formula1>LISTE_TVA</formula1>
    </dataValidation>
    <dataValidation sqref="I10:I209" showDropDown="0" showInputMessage="0" showErrorMessage="0" allowBlank="1" type="list">
      <formula1>"Oui,Non"</formula1>
    </dataValidation>
  </dataValidations>
  <pageMargins left="0.75" right="0.75" top="1" bottom="1" header="0.5" footer="0.5"/>
</worksheet>
</file>

<file path=xl/worksheets/sheet6.xml><?xml version="1.0" encoding="utf-8"?>
<worksheet xmlns="http://schemas.openxmlformats.org/spreadsheetml/2006/main">
  <sheetPr>
    <tabColor rgb="008B7D6B"/>
    <outlinePr summaryBelow="1" summaryRight="1"/>
    <pageSetUpPr/>
  </sheetPr>
  <dimension ref="A1:P315"/>
  <sheetViews>
    <sheetView showGridLines="0" workbookViewId="0">
      <pane ySplit="9" topLeftCell="A10" activePane="bottomLeft" state="frozen"/>
      <selection pane="bottomLeft" activeCell="A1" sqref="A1"/>
    </sheetView>
  </sheetViews>
  <sheetFormatPr baseColWidth="8" defaultRowHeight="15"/>
  <cols>
    <col width="2.5" customWidth="1" min="1" max="1"/>
    <col width="12" customWidth="1" min="2" max="2"/>
    <col width="20" customWidth="1" min="3" max="3"/>
    <col width="26" customWidth="1" min="4" max="4"/>
    <col width="30" customWidth="1" min="5" max="5"/>
    <col width="13" customWidth="1" min="6" max="6"/>
    <col width="9.5" customWidth="1" min="7" max="7"/>
    <col width="13" customWidth="1" min="8" max="8"/>
    <col width="13" customWidth="1" min="9" max="9"/>
    <col width="10" customWidth="1" min="10" max="10"/>
    <col width="7.5" customWidth="1" min="11" max="11"/>
    <col width="3" customWidth="1" min="12" max="12"/>
    <col width="10.5" customWidth="1" min="13" max="13"/>
    <col width="10.5" customWidth="1" min="14" max="14"/>
    <col width="12" customWidth="1" min="15" max="15"/>
  </cols>
  <sheetData>
    <row r="1" ht="30" customHeight="1">
      <c r="A1" s="1" t="inlineStr">
        <is>
          <t>💸 DÉPENSES</t>
        </is>
      </c>
      <c r="P1" s="2" t="n"/>
    </row>
    <row r="2" ht="16" customHeight="1">
      <c r="A2" s="3" t="inlineStr">
        <is>
          <t>En clair : tout ce que l'entreprise dépense — pour garder la main sur vos coûts.</t>
        </is>
      </c>
      <c r="P2" s="2" t="n"/>
    </row>
    <row r="3" ht="26" customHeight="1">
      <c r="A3" s="2" t="n"/>
      <c r="B3" s="53" t="inlineStr">
        <is>
          <t>💡 Choisissez la catégorie dans le menu déroulant (liste de l'onglet 📋 Budget). Ne saisissez pas ici le salaire du dirigeant, les cotisations, la TVA ou les impôts : ils sont gérés automatiquement dans 🏦 Trésorerie et 🧾 TVA &amp; Impôts.</t>
        </is>
      </c>
      <c r="P3" s="2" t="n"/>
    </row>
    <row r="4">
      <c r="A4" s="2" t="n"/>
      <c r="B4" s="2" t="n"/>
      <c r="C4" s="2" t="n"/>
      <c r="D4" s="2" t="n"/>
      <c r="E4" s="2" t="n"/>
      <c r="F4" s="2" t="n"/>
      <c r="G4" s="2" t="n"/>
      <c r="H4" s="2" t="n"/>
      <c r="I4" s="2" t="n"/>
      <c r="J4" s="2" t="n"/>
      <c r="K4" s="2" t="n"/>
      <c r="L4" s="2" t="n"/>
      <c r="M4" s="2" t="n"/>
      <c r="N4" s="2" t="n"/>
      <c r="O4" s="2" t="n"/>
      <c r="P4" s="2" t="n"/>
    </row>
    <row r="5">
      <c r="A5" s="2" t="n"/>
      <c r="B5" s="41" t="inlineStr">
        <is>
          <t>Synthèse mensuelle</t>
        </is>
      </c>
      <c r="C5" s="41" t="inlineStr">
        <is>
          <t>Janv</t>
        </is>
      </c>
      <c r="D5" s="41" t="inlineStr">
        <is>
          <t>Févr</t>
        </is>
      </c>
      <c r="E5" s="41" t="inlineStr">
        <is>
          <t>Mars</t>
        </is>
      </c>
      <c r="F5" s="41" t="inlineStr">
        <is>
          <t>Avr</t>
        </is>
      </c>
      <c r="G5" s="41" t="inlineStr">
        <is>
          <t>Mai</t>
        </is>
      </c>
      <c r="H5" s="41" t="inlineStr">
        <is>
          <t>Juin</t>
        </is>
      </c>
      <c r="I5" s="41" t="inlineStr">
        <is>
          <t>Juil</t>
        </is>
      </c>
      <c r="J5" s="41" t="inlineStr">
        <is>
          <t>Août</t>
        </is>
      </c>
      <c r="K5" s="41" t="inlineStr">
        <is>
          <t>Sept</t>
        </is>
      </c>
      <c r="L5" s="41" t="inlineStr">
        <is>
          <t>Oct</t>
        </is>
      </c>
      <c r="M5" s="41" t="inlineStr">
        <is>
          <t>Nov</t>
        </is>
      </c>
      <c r="N5" s="41" t="inlineStr">
        <is>
          <t>Déc</t>
        </is>
      </c>
      <c r="O5" s="41" t="inlineStr">
        <is>
          <t>Année</t>
        </is>
      </c>
      <c r="P5" s="2" t="n"/>
    </row>
    <row r="6">
      <c r="A6" s="2" t="n"/>
      <c r="B6" s="81" t="inlineStr">
        <is>
          <t>Dépenses HT</t>
        </is>
      </c>
      <c r="C6" s="44">
        <f>SUMIFS($F$10:$F$309,$K$10:$K$309,1)</f>
        <v/>
      </c>
      <c r="D6" s="44">
        <f>SUMIFS($F$10:$F$309,$K$10:$K$309,2)</f>
        <v/>
      </c>
      <c r="E6" s="44">
        <f>SUMIFS($F$10:$F$309,$K$10:$K$309,3)</f>
        <v/>
      </c>
      <c r="F6" s="44">
        <f>SUMIFS($F$10:$F$309,$K$10:$K$309,4)</f>
        <v/>
      </c>
      <c r="G6" s="44">
        <f>SUMIFS($F$10:$F$309,$K$10:$K$309,5)</f>
        <v/>
      </c>
      <c r="H6" s="44">
        <f>SUMIFS($F$10:$F$309,$K$10:$K$309,6)</f>
        <v/>
      </c>
      <c r="I6" s="44">
        <f>SUMIFS($F$10:$F$309,$K$10:$K$309,7)</f>
        <v/>
      </c>
      <c r="J6" s="44">
        <f>SUMIFS($F$10:$F$309,$K$10:$K$309,8)</f>
        <v/>
      </c>
      <c r="K6" s="44">
        <f>SUMIFS($F$10:$F$309,$K$10:$K$309,9)</f>
        <v/>
      </c>
      <c r="L6" s="44">
        <f>SUMIFS($F$10:$F$309,$K$10:$K$309,10)</f>
        <v/>
      </c>
      <c r="M6" s="44">
        <f>SUMIFS($F$10:$F$309,$K$10:$K$309,11)</f>
        <v/>
      </c>
      <c r="N6" s="44">
        <f>SUMIFS($F$10:$F$309,$K$10:$K$309,12)</f>
        <v/>
      </c>
      <c r="O6" s="82">
        <f>SUM(C6:N6)</f>
        <v/>
      </c>
      <c r="P6" s="2" t="n"/>
    </row>
    <row r="7">
      <c r="A7" s="2" t="n"/>
      <c r="B7" s="81" t="inlineStr">
        <is>
          <t>Payées TTC</t>
        </is>
      </c>
      <c r="C7" s="44">
        <f>SUMIFS($I$10:$I$309,$K$10:$K$309,1,$J$10:$J$309,"Oui")</f>
        <v/>
      </c>
      <c r="D7" s="44">
        <f>SUMIFS($I$10:$I$309,$K$10:$K$309,2,$J$10:$J$309,"Oui")</f>
        <v/>
      </c>
      <c r="E7" s="44">
        <f>SUMIFS($I$10:$I$309,$K$10:$K$309,3,$J$10:$J$309,"Oui")</f>
        <v/>
      </c>
      <c r="F7" s="44">
        <f>SUMIFS($I$10:$I$309,$K$10:$K$309,4,$J$10:$J$309,"Oui")</f>
        <v/>
      </c>
      <c r="G7" s="44">
        <f>SUMIFS($I$10:$I$309,$K$10:$K$309,5,$J$10:$J$309,"Oui")</f>
        <v/>
      </c>
      <c r="H7" s="44">
        <f>SUMIFS($I$10:$I$309,$K$10:$K$309,6,$J$10:$J$309,"Oui")</f>
        <v/>
      </c>
      <c r="I7" s="44">
        <f>SUMIFS($I$10:$I$309,$K$10:$K$309,7,$J$10:$J$309,"Oui")</f>
        <v/>
      </c>
      <c r="J7" s="44">
        <f>SUMIFS($I$10:$I$309,$K$10:$K$309,8,$J$10:$J$309,"Oui")</f>
        <v/>
      </c>
      <c r="K7" s="44">
        <f>SUMIFS($I$10:$I$309,$K$10:$K$309,9,$J$10:$J$309,"Oui")</f>
        <v/>
      </c>
      <c r="L7" s="44">
        <f>SUMIFS($I$10:$I$309,$K$10:$K$309,10,$J$10:$J$309,"Oui")</f>
        <v/>
      </c>
      <c r="M7" s="44">
        <f>SUMIFS($I$10:$I$309,$K$10:$K$309,11,$J$10:$J$309,"Oui")</f>
        <v/>
      </c>
      <c r="N7" s="44">
        <f>SUMIFS($I$10:$I$309,$K$10:$K$309,12,$J$10:$J$309,"Oui")</f>
        <v/>
      </c>
      <c r="O7" s="82">
        <f>SUM(C7:N7)</f>
        <v/>
      </c>
      <c r="P7" s="2" t="n"/>
    </row>
    <row r="8">
      <c r="A8" s="2" t="n"/>
      <c r="B8" s="2" t="n"/>
      <c r="C8" s="2" t="n"/>
      <c r="D8" s="2" t="n"/>
      <c r="E8" s="2" t="n"/>
      <c r="F8" s="2" t="n"/>
      <c r="G8" s="2" t="n"/>
      <c r="H8" s="2" t="n"/>
      <c r="I8" s="2" t="n"/>
      <c r="J8" s="2" t="n"/>
      <c r="K8" s="2" t="n"/>
      <c r="L8" s="2" t="n"/>
      <c r="M8" s="2" t="n"/>
      <c r="N8" s="2" t="n"/>
      <c r="O8" s="2" t="n"/>
      <c r="P8" s="2" t="n"/>
    </row>
    <row r="9" ht="22" customHeight="1">
      <c r="A9" s="2" t="n"/>
      <c r="B9" s="83" t="inlineStr">
        <is>
          <t>Date</t>
        </is>
      </c>
      <c r="C9" s="83" t="inlineStr">
        <is>
          <t>Fournisseur</t>
        </is>
      </c>
      <c r="D9" s="83" t="inlineStr">
        <is>
          <t>Catégorie</t>
        </is>
      </c>
      <c r="E9" s="83" t="inlineStr">
        <is>
          <t>Description</t>
        </is>
      </c>
      <c r="F9" s="83" t="inlineStr">
        <is>
          <t>Montant HT</t>
        </is>
      </c>
      <c r="G9" s="83" t="inlineStr">
        <is>
          <t>Taux TVA</t>
        </is>
      </c>
      <c r="H9" s="83" t="inlineStr">
        <is>
          <t>TVA déductible</t>
        </is>
      </c>
      <c r="I9" s="83" t="inlineStr">
        <is>
          <t>Montant TTC</t>
        </is>
      </c>
      <c r="J9" s="83" t="inlineStr">
        <is>
          <t>Payé</t>
        </is>
      </c>
      <c r="K9" s="83" t="inlineStr">
        <is>
          <t>Mois</t>
        </is>
      </c>
      <c r="L9" s="2" t="n"/>
      <c r="M9" s="2" t="n"/>
      <c r="N9" s="2" t="n"/>
      <c r="O9" s="2" t="n"/>
      <c r="P9" s="2" t="n"/>
    </row>
    <row r="10">
      <c r="A10" s="2" t="n"/>
      <c r="B10" s="84" t="n">
        <v>46027</v>
      </c>
      <c r="C10" s="78" t="inlineStr">
        <is>
          <t>OVHcloud</t>
        </is>
      </c>
      <c r="D10" s="78" t="inlineStr">
        <is>
          <t>Logiciels &amp; abonnements</t>
        </is>
      </c>
      <c r="E10" s="78" t="inlineStr">
        <is>
          <t>Hébergement site + e-mails</t>
        </is>
      </c>
      <c r="F10" s="73" t="n">
        <v>14.9</v>
      </c>
      <c r="G10" s="77" t="n">
        <v>0.2</v>
      </c>
      <c r="H10" s="85">
        <f>IF(OR($F10="",$G10=""),"",ROUND($F10*$G10,2))</f>
        <v/>
      </c>
      <c r="I10" s="85">
        <f>IF($F10="","",ROUND($F10*(1+IF($G10="",0,$G10)),2))</f>
        <v/>
      </c>
      <c r="J10" s="69" t="inlineStr">
        <is>
          <t>Oui</t>
        </is>
      </c>
      <c r="K10" s="86">
        <f>IF($B10="","",MONTH($B10))</f>
        <v/>
      </c>
      <c r="L10" s="2" t="n"/>
      <c r="M10" s="2" t="n"/>
      <c r="N10" s="2" t="n"/>
      <c r="O10" s="2" t="n"/>
      <c r="P10" s="2" t="n"/>
    </row>
    <row r="11">
      <c r="A11" s="2" t="n"/>
      <c r="B11" s="84" t="n">
        <v>46027</v>
      </c>
      <c r="C11" s="78" t="inlineStr">
        <is>
          <t>AXA Pro</t>
        </is>
      </c>
      <c r="D11" s="78" t="inlineStr">
        <is>
          <t>Assurances</t>
        </is>
      </c>
      <c r="E11" s="78" t="inlineStr">
        <is>
          <t>RC Pro — prime mensuelle</t>
        </is>
      </c>
      <c r="F11" s="73" t="n">
        <v>38.5</v>
      </c>
      <c r="G11" s="77" t="n">
        <v>0</v>
      </c>
      <c r="H11" s="87">
        <f>IF(OR($F11="",$G11=""),"",ROUND($F11*$G11,2))</f>
        <v/>
      </c>
      <c r="I11" s="87">
        <f>IF($F11="","",ROUND($F11*(1+IF($G11="",0,$G11)),2))</f>
        <v/>
      </c>
      <c r="J11" s="69" t="inlineStr">
        <is>
          <t>Oui</t>
        </is>
      </c>
      <c r="K11" s="88">
        <f>IF($B11="","",MONTH($B11))</f>
        <v/>
      </c>
      <c r="L11" s="2" t="n"/>
      <c r="M11" s="2" t="n"/>
      <c r="N11" s="2" t="n"/>
      <c r="O11" s="2" t="n"/>
      <c r="P11" s="2" t="n"/>
    </row>
    <row r="12">
      <c r="A12" s="2" t="n"/>
      <c r="B12" s="84" t="n">
        <v>46031</v>
      </c>
      <c r="C12" s="78" t="inlineStr">
        <is>
          <t>SNCF Connect</t>
        </is>
      </c>
      <c r="D12" s="78" t="inlineStr">
        <is>
          <t>Déplacements &amp; missions</t>
        </is>
      </c>
      <c r="E12" s="78" t="inlineStr">
        <is>
          <t>AR Paris — réunion client</t>
        </is>
      </c>
      <c r="F12" s="73" t="n">
        <v>89</v>
      </c>
      <c r="G12" s="77" t="n">
        <v>0.1</v>
      </c>
      <c r="H12" s="85">
        <f>IF(OR($F12="",$G12=""),"",ROUND($F12*$G12,2))</f>
        <v/>
      </c>
      <c r="I12" s="85">
        <f>IF($F12="","",ROUND($F12*(1+IF($G12="",0,$G12)),2))</f>
        <v/>
      </c>
      <c r="J12" s="69" t="inlineStr">
        <is>
          <t>Oui</t>
        </is>
      </c>
      <c r="K12" s="86">
        <f>IF($B12="","",MONTH($B12))</f>
        <v/>
      </c>
      <c r="L12" s="2" t="n"/>
      <c r="M12" s="2" t="n"/>
      <c r="N12" s="2" t="n"/>
      <c r="O12" s="2" t="n"/>
      <c r="P12" s="2" t="n"/>
    </row>
    <row r="13">
      <c r="A13" s="2" t="n"/>
      <c r="B13" s="84" t="n">
        <v>46034</v>
      </c>
      <c r="C13" s="78" t="inlineStr">
        <is>
          <t>Adobe</t>
        </is>
      </c>
      <c r="D13" s="78" t="inlineStr">
        <is>
          <t>Logiciels &amp; abonnements</t>
        </is>
      </c>
      <c r="E13" s="78" t="inlineStr">
        <is>
          <t>Creative Cloud</t>
        </is>
      </c>
      <c r="F13" s="73" t="n">
        <v>59.99</v>
      </c>
      <c r="G13" s="77" t="n">
        <v>0.2</v>
      </c>
      <c r="H13" s="87">
        <f>IF(OR($F13="",$G13=""),"",ROUND($F13*$G13,2))</f>
        <v/>
      </c>
      <c r="I13" s="87">
        <f>IF($F13="","",ROUND($F13*(1+IF($G13="",0,$G13)),2))</f>
        <v/>
      </c>
      <c r="J13" s="69" t="inlineStr">
        <is>
          <t>Oui</t>
        </is>
      </c>
      <c r="K13" s="88">
        <f>IF($B13="","",MONTH($B13))</f>
        <v/>
      </c>
      <c r="L13" s="2" t="n"/>
      <c r="M13" s="2" t="n"/>
      <c r="N13" s="2" t="n"/>
      <c r="O13" s="2" t="n"/>
      <c r="P13" s="2" t="n"/>
    </row>
    <row r="14">
      <c r="A14" s="2" t="n"/>
      <c r="B14" s="84" t="n">
        <v>46037</v>
      </c>
      <c r="C14" s="78" t="inlineStr">
        <is>
          <t>Compta Facile</t>
        </is>
      </c>
      <c r="D14" s="78" t="inlineStr">
        <is>
          <t>Honoraires comptables</t>
        </is>
      </c>
      <c r="E14" s="78" t="inlineStr">
        <is>
          <t>Forfait comptable janvier</t>
        </is>
      </c>
      <c r="F14" s="73" t="n">
        <v>120</v>
      </c>
      <c r="G14" s="77" t="n">
        <v>0.2</v>
      </c>
      <c r="H14" s="85">
        <f>IF(OR($F14="",$G14=""),"",ROUND($F14*$G14,2))</f>
        <v/>
      </c>
      <c r="I14" s="85">
        <f>IF($F14="","",ROUND($F14*(1+IF($G14="",0,$G14)),2))</f>
        <v/>
      </c>
      <c r="J14" s="69" t="inlineStr">
        <is>
          <t>Oui</t>
        </is>
      </c>
      <c r="K14" s="86">
        <f>IF($B14="","",MONTH($B14))</f>
        <v/>
      </c>
      <c r="L14" s="2" t="n"/>
      <c r="M14" s="2" t="n"/>
      <c r="N14" s="2" t="n"/>
      <c r="O14" s="2" t="n"/>
      <c r="P14" s="2" t="n"/>
    </row>
    <row r="15">
      <c r="A15" s="2" t="n"/>
      <c r="B15" s="84" t="n">
        <v>46042</v>
      </c>
      <c r="C15" s="78" t="inlineStr">
        <is>
          <t>Orange Pro</t>
        </is>
      </c>
      <c r="D15" s="78" t="inlineStr">
        <is>
          <t>Télécom &amp; internet</t>
        </is>
      </c>
      <c r="E15" s="78" t="inlineStr">
        <is>
          <t>Forfait mobile + fibre</t>
        </is>
      </c>
      <c r="F15" s="73" t="n">
        <v>54.9</v>
      </c>
      <c r="G15" s="77" t="n">
        <v>0.2</v>
      </c>
      <c r="H15" s="87">
        <f>IF(OR($F15="",$G15=""),"",ROUND($F15*$G15,2))</f>
        <v/>
      </c>
      <c r="I15" s="87">
        <f>IF($F15="","",ROUND($F15*(1+IF($G15="",0,$G15)),2))</f>
        <v/>
      </c>
      <c r="J15" s="69" t="inlineStr">
        <is>
          <t>Oui</t>
        </is>
      </c>
      <c r="K15" s="88">
        <f>IF($B15="","",MONTH($B15))</f>
        <v/>
      </c>
      <c r="L15" s="2" t="n"/>
      <c r="M15" s="2" t="n"/>
      <c r="N15" s="2" t="n"/>
      <c r="O15" s="2" t="n"/>
      <c r="P15" s="2" t="n"/>
    </row>
    <row r="16">
      <c r="A16" s="2" t="n"/>
      <c r="B16" s="84" t="n">
        <v>46050</v>
      </c>
      <c r="C16" s="78" t="inlineStr">
        <is>
          <t>Qonto</t>
        </is>
      </c>
      <c r="D16" s="78" t="inlineStr">
        <is>
          <t>Frais bancaires</t>
        </is>
      </c>
      <c r="E16" s="78" t="inlineStr">
        <is>
          <t>Abonnement compte pro</t>
        </is>
      </c>
      <c r="F16" s="73" t="n">
        <v>29</v>
      </c>
      <c r="G16" s="77" t="n">
        <v>0.2</v>
      </c>
      <c r="H16" s="85">
        <f>IF(OR($F16="",$G16=""),"",ROUND($F16*$G16,2))</f>
        <v/>
      </c>
      <c r="I16" s="85">
        <f>IF($F16="","",ROUND($F16*(1+IF($G16="",0,$G16)),2))</f>
        <v/>
      </c>
      <c r="J16" s="69" t="inlineStr">
        <is>
          <t>Oui</t>
        </is>
      </c>
      <c r="K16" s="86">
        <f>IF($B16="","",MONTH($B16))</f>
        <v/>
      </c>
      <c r="L16" s="2" t="n"/>
      <c r="M16" s="2" t="n"/>
      <c r="N16" s="2" t="n"/>
      <c r="O16" s="2" t="n"/>
      <c r="P16" s="2" t="n"/>
    </row>
    <row r="17">
      <c r="A17" s="2" t="n"/>
      <c r="B17" s="84" t="n">
        <v>46056</v>
      </c>
      <c r="C17" s="78" t="inlineStr">
        <is>
          <t>Bureau Vallée</t>
        </is>
      </c>
      <c r="D17" s="78" t="inlineStr">
        <is>
          <t>Achats &amp; fournitures</t>
        </is>
      </c>
      <c r="E17" s="78" t="inlineStr">
        <is>
          <t>Papeterie &amp; consommables</t>
        </is>
      </c>
      <c r="F17" s="73" t="n">
        <v>47.6</v>
      </c>
      <c r="G17" s="77" t="n">
        <v>0.2</v>
      </c>
      <c r="H17" s="87">
        <f>IF(OR($F17="",$G17=""),"",ROUND($F17*$G17,2))</f>
        <v/>
      </c>
      <c r="I17" s="87">
        <f>IF($F17="","",ROUND($F17*(1+IF($G17="",0,$G17)),2))</f>
        <v/>
      </c>
      <c r="J17" s="69" t="inlineStr">
        <is>
          <t>Oui</t>
        </is>
      </c>
      <c r="K17" s="88">
        <f>IF($B17="","",MONTH($B17))</f>
        <v/>
      </c>
      <c r="L17" s="2" t="n"/>
      <c r="M17" s="2" t="n"/>
      <c r="N17" s="2" t="n"/>
      <c r="O17" s="2" t="n"/>
      <c r="P17" s="2" t="n"/>
    </row>
    <row r="18">
      <c r="A18" s="2" t="n"/>
      <c r="B18" s="84" t="n">
        <v>46063</v>
      </c>
      <c r="C18" s="78" t="inlineStr">
        <is>
          <t>Meta Ads</t>
        </is>
      </c>
      <c r="D18" s="78" t="inlineStr">
        <is>
          <t>Marketing &amp; communication</t>
        </is>
      </c>
      <c r="E18" s="78" t="inlineStr">
        <is>
          <t>Campagne prospection février</t>
        </is>
      </c>
      <c r="F18" s="73" t="n">
        <v>150</v>
      </c>
      <c r="G18" s="77" t="n">
        <v>0.2</v>
      </c>
      <c r="H18" s="85">
        <f>IF(OR($F18="",$G18=""),"",ROUND($F18*$G18,2))</f>
        <v/>
      </c>
      <c r="I18" s="85">
        <f>IF($F18="","",ROUND($F18*(1+IF($G18="",0,$G18)),2))</f>
        <v/>
      </c>
      <c r="J18" s="69" t="inlineStr">
        <is>
          <t>Oui</t>
        </is>
      </c>
      <c r="K18" s="86">
        <f>IF($B18="","",MONTH($B18))</f>
        <v/>
      </c>
      <c r="L18" s="2" t="n"/>
      <c r="M18" s="2" t="n"/>
      <c r="N18" s="2" t="n"/>
      <c r="O18" s="2" t="n"/>
      <c r="P18" s="2" t="n"/>
    </row>
    <row r="19">
      <c r="A19" s="2" t="n"/>
      <c r="B19" s="84" t="n">
        <v>46071</v>
      </c>
      <c r="C19" s="78" t="inlineStr">
        <is>
          <t>La Poste</t>
        </is>
      </c>
      <c r="D19" s="78" t="inlineStr">
        <is>
          <t>Achats &amp; fournitures</t>
        </is>
      </c>
      <c r="E19" s="78" t="inlineStr">
        <is>
          <t>Affranchissements</t>
        </is>
      </c>
      <c r="F19" s="73" t="n">
        <v>21.4</v>
      </c>
      <c r="G19" s="77" t="n">
        <v>0.2</v>
      </c>
      <c r="H19" s="87">
        <f>IF(OR($F19="",$G19=""),"",ROUND($F19*$G19,2))</f>
        <v/>
      </c>
      <c r="I19" s="87">
        <f>IF($F19="","",ROUND($F19*(1+IF($G19="",0,$G19)),2))</f>
        <v/>
      </c>
      <c r="J19" s="69" t="inlineStr">
        <is>
          <t>Non</t>
        </is>
      </c>
      <c r="K19" s="88">
        <f>IF($B19="","",MONTH($B19))</f>
        <v/>
      </c>
      <c r="L19" s="2" t="n"/>
      <c r="M19" s="2" t="n"/>
      <c r="N19" s="2" t="n"/>
      <c r="O19" s="2" t="n"/>
      <c r="P19" s="2" t="n"/>
    </row>
    <row r="20">
      <c r="A20" s="2" t="n"/>
      <c r="B20" s="84" t="n"/>
      <c r="C20" s="78" t="n"/>
      <c r="D20" s="78" t="n"/>
      <c r="E20" s="78" t="n"/>
      <c r="F20" s="73" t="n"/>
      <c r="G20" s="77" t="n"/>
      <c r="H20" s="85">
        <f>IF(OR($F20="",$G20=""),"",ROUND($F20*$G20,2))</f>
        <v/>
      </c>
      <c r="I20" s="85">
        <f>IF($F20="","",ROUND($F20*(1+IF($G20="",0,$G20)),2))</f>
        <v/>
      </c>
      <c r="J20" s="69" t="n"/>
      <c r="K20" s="86">
        <f>IF($B20="","",MONTH($B20))</f>
        <v/>
      </c>
      <c r="L20" s="2" t="n"/>
      <c r="M20" s="2" t="n"/>
      <c r="N20" s="2" t="n"/>
      <c r="O20" s="2" t="n"/>
      <c r="P20" s="2" t="n"/>
    </row>
    <row r="21">
      <c r="A21" s="2" t="n"/>
      <c r="B21" s="84" t="n"/>
      <c r="C21" s="78" t="n"/>
      <c r="D21" s="78" t="n"/>
      <c r="E21" s="78" t="n"/>
      <c r="F21" s="73" t="n"/>
      <c r="G21" s="77" t="n"/>
      <c r="H21" s="87">
        <f>IF(OR($F21="",$G21=""),"",ROUND($F21*$G21,2))</f>
        <v/>
      </c>
      <c r="I21" s="87">
        <f>IF($F21="","",ROUND($F21*(1+IF($G21="",0,$G21)),2))</f>
        <v/>
      </c>
      <c r="J21" s="69" t="n"/>
      <c r="K21" s="88">
        <f>IF($B21="","",MONTH($B21))</f>
        <v/>
      </c>
      <c r="L21" s="2" t="n"/>
      <c r="M21" s="2" t="n"/>
      <c r="N21" s="2" t="n"/>
      <c r="O21" s="2" t="n"/>
      <c r="P21" s="2" t="n"/>
    </row>
    <row r="22">
      <c r="A22" s="2" t="n"/>
      <c r="B22" s="84" t="n"/>
      <c r="C22" s="78" t="n"/>
      <c r="D22" s="78" t="n"/>
      <c r="E22" s="78" t="n"/>
      <c r="F22" s="73" t="n"/>
      <c r="G22" s="77" t="n"/>
      <c r="H22" s="85">
        <f>IF(OR($F22="",$G22=""),"",ROUND($F22*$G22,2))</f>
        <v/>
      </c>
      <c r="I22" s="85">
        <f>IF($F22="","",ROUND($F22*(1+IF($G22="",0,$G22)),2))</f>
        <v/>
      </c>
      <c r="J22" s="69" t="n"/>
      <c r="K22" s="86">
        <f>IF($B22="","",MONTH($B22))</f>
        <v/>
      </c>
      <c r="L22" s="2" t="n"/>
      <c r="M22" s="2" t="n"/>
      <c r="N22" s="2" t="n"/>
      <c r="O22" s="2" t="n"/>
      <c r="P22" s="2" t="n"/>
    </row>
    <row r="23">
      <c r="A23" s="2" t="n"/>
      <c r="B23" s="84" t="n"/>
      <c r="C23" s="78" t="n"/>
      <c r="D23" s="78" t="n"/>
      <c r="E23" s="78" t="n"/>
      <c r="F23" s="73" t="n"/>
      <c r="G23" s="77" t="n"/>
      <c r="H23" s="87">
        <f>IF(OR($F23="",$G23=""),"",ROUND($F23*$G23,2))</f>
        <v/>
      </c>
      <c r="I23" s="87">
        <f>IF($F23="","",ROUND($F23*(1+IF($G23="",0,$G23)),2))</f>
        <v/>
      </c>
      <c r="J23" s="69" t="n"/>
      <c r="K23" s="88">
        <f>IF($B23="","",MONTH($B23))</f>
        <v/>
      </c>
      <c r="L23" s="2" t="n"/>
      <c r="M23" s="2" t="n"/>
      <c r="N23" s="2" t="n"/>
      <c r="O23" s="2" t="n"/>
      <c r="P23" s="2" t="n"/>
    </row>
    <row r="24">
      <c r="A24" s="2" t="n"/>
      <c r="B24" s="84" t="n"/>
      <c r="C24" s="78" t="n"/>
      <c r="D24" s="78" t="n"/>
      <c r="E24" s="78" t="n"/>
      <c r="F24" s="73" t="n"/>
      <c r="G24" s="77" t="n"/>
      <c r="H24" s="85">
        <f>IF(OR($F24="",$G24=""),"",ROUND($F24*$G24,2))</f>
        <v/>
      </c>
      <c r="I24" s="85">
        <f>IF($F24="","",ROUND($F24*(1+IF($G24="",0,$G24)),2))</f>
        <v/>
      </c>
      <c r="J24" s="69" t="n"/>
      <c r="K24" s="86">
        <f>IF($B24="","",MONTH($B24))</f>
        <v/>
      </c>
      <c r="L24" s="2" t="n"/>
      <c r="M24" s="2" t="n"/>
      <c r="N24" s="2" t="n"/>
      <c r="O24" s="2" t="n"/>
      <c r="P24" s="2" t="n"/>
    </row>
    <row r="25">
      <c r="A25" s="2" t="n"/>
      <c r="B25" s="84" t="n"/>
      <c r="C25" s="78" t="n"/>
      <c r="D25" s="78" t="n"/>
      <c r="E25" s="78" t="n"/>
      <c r="F25" s="73" t="n"/>
      <c r="G25" s="77" t="n"/>
      <c r="H25" s="87">
        <f>IF(OR($F25="",$G25=""),"",ROUND($F25*$G25,2))</f>
        <v/>
      </c>
      <c r="I25" s="87">
        <f>IF($F25="","",ROUND($F25*(1+IF($G25="",0,$G25)),2))</f>
        <v/>
      </c>
      <c r="J25" s="69" t="n"/>
      <c r="K25" s="88">
        <f>IF($B25="","",MONTH($B25))</f>
        <v/>
      </c>
      <c r="L25" s="2" t="n"/>
      <c r="M25" s="2" t="n"/>
      <c r="N25" s="2" t="n"/>
      <c r="O25" s="2" t="n"/>
      <c r="P25" s="2" t="n"/>
    </row>
    <row r="26">
      <c r="A26" s="2" t="n"/>
      <c r="B26" s="84" t="n"/>
      <c r="C26" s="78" t="n"/>
      <c r="D26" s="78" t="n"/>
      <c r="E26" s="78" t="n"/>
      <c r="F26" s="73" t="n"/>
      <c r="G26" s="77" t="n"/>
      <c r="H26" s="85">
        <f>IF(OR($F26="",$G26=""),"",ROUND($F26*$G26,2))</f>
        <v/>
      </c>
      <c r="I26" s="85">
        <f>IF($F26="","",ROUND($F26*(1+IF($G26="",0,$G26)),2))</f>
        <v/>
      </c>
      <c r="J26" s="69" t="n"/>
      <c r="K26" s="86">
        <f>IF($B26="","",MONTH($B26))</f>
        <v/>
      </c>
      <c r="L26" s="2" t="n"/>
      <c r="M26" s="2" t="n"/>
      <c r="N26" s="2" t="n"/>
      <c r="O26" s="2" t="n"/>
      <c r="P26" s="2" t="n"/>
    </row>
    <row r="27">
      <c r="A27" s="2" t="n"/>
      <c r="B27" s="84" t="n"/>
      <c r="C27" s="78" t="n"/>
      <c r="D27" s="78" t="n"/>
      <c r="E27" s="78" t="n"/>
      <c r="F27" s="73" t="n"/>
      <c r="G27" s="77" t="n"/>
      <c r="H27" s="87">
        <f>IF(OR($F27="",$G27=""),"",ROUND($F27*$G27,2))</f>
        <v/>
      </c>
      <c r="I27" s="87">
        <f>IF($F27="","",ROUND($F27*(1+IF($G27="",0,$G27)),2))</f>
        <v/>
      </c>
      <c r="J27" s="69" t="n"/>
      <c r="K27" s="88">
        <f>IF($B27="","",MONTH($B27))</f>
        <v/>
      </c>
      <c r="L27" s="2" t="n"/>
      <c r="M27" s="2" t="n"/>
      <c r="N27" s="2" t="n"/>
      <c r="O27" s="2" t="n"/>
      <c r="P27" s="2" t="n"/>
    </row>
    <row r="28">
      <c r="A28" s="2" t="n"/>
      <c r="B28" s="84" t="n"/>
      <c r="C28" s="78" t="n"/>
      <c r="D28" s="78" t="n"/>
      <c r="E28" s="78" t="n"/>
      <c r="F28" s="73" t="n"/>
      <c r="G28" s="77" t="n"/>
      <c r="H28" s="85">
        <f>IF(OR($F28="",$G28=""),"",ROUND($F28*$G28,2))</f>
        <v/>
      </c>
      <c r="I28" s="85">
        <f>IF($F28="","",ROUND($F28*(1+IF($G28="",0,$G28)),2))</f>
        <v/>
      </c>
      <c r="J28" s="69" t="n"/>
      <c r="K28" s="86">
        <f>IF($B28="","",MONTH($B28))</f>
        <v/>
      </c>
      <c r="L28" s="2" t="n"/>
      <c r="M28" s="2" t="n"/>
      <c r="N28" s="2" t="n"/>
      <c r="O28" s="2" t="n"/>
      <c r="P28" s="2" t="n"/>
    </row>
    <row r="29">
      <c r="A29" s="2" t="n"/>
      <c r="B29" s="84" t="n"/>
      <c r="C29" s="78" t="n"/>
      <c r="D29" s="78" t="n"/>
      <c r="E29" s="78" t="n"/>
      <c r="F29" s="73" t="n"/>
      <c r="G29" s="77" t="n"/>
      <c r="H29" s="87">
        <f>IF(OR($F29="",$G29=""),"",ROUND($F29*$G29,2))</f>
        <v/>
      </c>
      <c r="I29" s="87">
        <f>IF($F29="","",ROUND($F29*(1+IF($G29="",0,$G29)),2))</f>
        <v/>
      </c>
      <c r="J29" s="69" t="n"/>
      <c r="K29" s="88">
        <f>IF($B29="","",MONTH($B29))</f>
        <v/>
      </c>
      <c r="L29" s="2" t="n"/>
      <c r="M29" s="2" t="n"/>
      <c r="N29" s="2" t="n"/>
      <c r="O29" s="2" t="n"/>
      <c r="P29" s="2" t="n"/>
    </row>
    <row r="30">
      <c r="A30" s="2" t="n"/>
      <c r="B30" s="84" t="n"/>
      <c r="C30" s="78" t="n"/>
      <c r="D30" s="78" t="n"/>
      <c r="E30" s="78" t="n"/>
      <c r="F30" s="73" t="n"/>
      <c r="G30" s="77" t="n"/>
      <c r="H30" s="85">
        <f>IF(OR($F30="",$G30=""),"",ROUND($F30*$G30,2))</f>
        <v/>
      </c>
      <c r="I30" s="85">
        <f>IF($F30="","",ROUND($F30*(1+IF($G30="",0,$G30)),2))</f>
        <v/>
      </c>
      <c r="J30" s="69" t="n"/>
      <c r="K30" s="86">
        <f>IF($B30="","",MONTH($B30))</f>
        <v/>
      </c>
      <c r="L30" s="2" t="n"/>
      <c r="M30" s="2" t="n"/>
      <c r="N30" s="2" t="n"/>
      <c r="O30" s="2" t="n"/>
      <c r="P30" s="2" t="n"/>
    </row>
    <row r="31">
      <c r="A31" s="2" t="n"/>
      <c r="B31" s="84" t="n"/>
      <c r="C31" s="78" t="n"/>
      <c r="D31" s="78" t="n"/>
      <c r="E31" s="78" t="n"/>
      <c r="F31" s="73" t="n"/>
      <c r="G31" s="77" t="n"/>
      <c r="H31" s="87">
        <f>IF(OR($F31="",$G31=""),"",ROUND($F31*$G31,2))</f>
        <v/>
      </c>
      <c r="I31" s="87">
        <f>IF($F31="","",ROUND($F31*(1+IF($G31="",0,$G31)),2))</f>
        <v/>
      </c>
      <c r="J31" s="69" t="n"/>
      <c r="K31" s="88">
        <f>IF($B31="","",MONTH($B31))</f>
        <v/>
      </c>
      <c r="L31" s="2" t="n"/>
      <c r="M31" s="2" t="n"/>
      <c r="N31" s="2" t="n"/>
      <c r="O31" s="2" t="n"/>
      <c r="P31" s="2" t="n"/>
    </row>
    <row r="32">
      <c r="A32" s="2" t="n"/>
      <c r="B32" s="84" t="n"/>
      <c r="C32" s="78" t="n"/>
      <c r="D32" s="78" t="n"/>
      <c r="E32" s="78" t="n"/>
      <c r="F32" s="73" t="n"/>
      <c r="G32" s="77" t="n"/>
      <c r="H32" s="85">
        <f>IF(OR($F32="",$G32=""),"",ROUND($F32*$G32,2))</f>
        <v/>
      </c>
      <c r="I32" s="85">
        <f>IF($F32="","",ROUND($F32*(1+IF($G32="",0,$G32)),2))</f>
        <v/>
      </c>
      <c r="J32" s="69" t="n"/>
      <c r="K32" s="86">
        <f>IF($B32="","",MONTH($B32))</f>
        <v/>
      </c>
      <c r="L32" s="2" t="n"/>
      <c r="M32" s="2" t="n"/>
      <c r="N32" s="2" t="n"/>
      <c r="O32" s="2" t="n"/>
      <c r="P32" s="2" t="n"/>
    </row>
    <row r="33">
      <c r="A33" s="2" t="n"/>
      <c r="B33" s="84" t="n"/>
      <c r="C33" s="78" t="n"/>
      <c r="D33" s="78" t="n"/>
      <c r="E33" s="78" t="n"/>
      <c r="F33" s="73" t="n"/>
      <c r="G33" s="77" t="n"/>
      <c r="H33" s="87">
        <f>IF(OR($F33="",$G33=""),"",ROUND($F33*$G33,2))</f>
        <v/>
      </c>
      <c r="I33" s="87">
        <f>IF($F33="","",ROUND($F33*(1+IF($G33="",0,$G33)),2))</f>
        <v/>
      </c>
      <c r="J33" s="69" t="n"/>
      <c r="K33" s="88">
        <f>IF($B33="","",MONTH($B33))</f>
        <v/>
      </c>
      <c r="L33" s="2" t="n"/>
      <c r="M33" s="2" t="n"/>
      <c r="N33" s="2" t="n"/>
      <c r="O33" s="2" t="n"/>
      <c r="P33" s="2" t="n"/>
    </row>
    <row r="34">
      <c r="A34" s="2" t="n"/>
      <c r="B34" s="84" t="n"/>
      <c r="C34" s="78" t="n"/>
      <c r="D34" s="78" t="n"/>
      <c r="E34" s="78" t="n"/>
      <c r="F34" s="73" t="n"/>
      <c r="G34" s="77" t="n"/>
      <c r="H34" s="85">
        <f>IF(OR($F34="",$G34=""),"",ROUND($F34*$G34,2))</f>
        <v/>
      </c>
      <c r="I34" s="85">
        <f>IF($F34="","",ROUND($F34*(1+IF($G34="",0,$G34)),2))</f>
        <v/>
      </c>
      <c r="J34" s="69" t="n"/>
      <c r="K34" s="86">
        <f>IF($B34="","",MONTH($B34))</f>
        <v/>
      </c>
      <c r="L34" s="2" t="n"/>
      <c r="M34" s="2" t="n"/>
      <c r="N34" s="2" t="n"/>
      <c r="O34" s="2" t="n"/>
      <c r="P34" s="2" t="n"/>
    </row>
    <row r="35">
      <c r="A35" s="2" t="n"/>
      <c r="B35" s="84" t="n"/>
      <c r="C35" s="78" t="n"/>
      <c r="D35" s="78" t="n"/>
      <c r="E35" s="78" t="n"/>
      <c r="F35" s="73" t="n"/>
      <c r="G35" s="77" t="n"/>
      <c r="H35" s="87">
        <f>IF(OR($F35="",$G35=""),"",ROUND($F35*$G35,2))</f>
        <v/>
      </c>
      <c r="I35" s="87">
        <f>IF($F35="","",ROUND($F35*(1+IF($G35="",0,$G35)),2))</f>
        <v/>
      </c>
      <c r="J35" s="69" t="n"/>
      <c r="K35" s="88">
        <f>IF($B35="","",MONTH($B35))</f>
        <v/>
      </c>
      <c r="L35" s="2" t="n"/>
      <c r="M35" s="2" t="n"/>
      <c r="N35" s="2" t="n"/>
      <c r="O35" s="2" t="n"/>
      <c r="P35" s="2" t="n"/>
    </row>
    <row r="36">
      <c r="A36" s="2" t="n"/>
      <c r="B36" s="84" t="n"/>
      <c r="C36" s="78" t="n"/>
      <c r="D36" s="78" t="n"/>
      <c r="E36" s="78" t="n"/>
      <c r="F36" s="73" t="n"/>
      <c r="G36" s="77" t="n"/>
      <c r="H36" s="85">
        <f>IF(OR($F36="",$G36=""),"",ROUND($F36*$G36,2))</f>
        <v/>
      </c>
      <c r="I36" s="85">
        <f>IF($F36="","",ROUND($F36*(1+IF($G36="",0,$G36)),2))</f>
        <v/>
      </c>
      <c r="J36" s="69" t="n"/>
      <c r="K36" s="86">
        <f>IF($B36="","",MONTH($B36))</f>
        <v/>
      </c>
      <c r="L36" s="2" t="n"/>
      <c r="M36" s="2" t="n"/>
      <c r="N36" s="2" t="n"/>
      <c r="O36" s="2" t="n"/>
      <c r="P36" s="2" t="n"/>
    </row>
    <row r="37">
      <c r="A37" s="2" t="n"/>
      <c r="B37" s="84" t="n"/>
      <c r="C37" s="78" t="n"/>
      <c r="D37" s="78" t="n"/>
      <c r="E37" s="78" t="n"/>
      <c r="F37" s="73" t="n"/>
      <c r="G37" s="77" t="n"/>
      <c r="H37" s="87">
        <f>IF(OR($F37="",$G37=""),"",ROUND($F37*$G37,2))</f>
        <v/>
      </c>
      <c r="I37" s="87">
        <f>IF($F37="","",ROUND($F37*(1+IF($G37="",0,$G37)),2))</f>
        <v/>
      </c>
      <c r="J37" s="69" t="n"/>
      <c r="K37" s="88">
        <f>IF($B37="","",MONTH($B37))</f>
        <v/>
      </c>
      <c r="L37" s="2" t="n"/>
      <c r="M37" s="2" t="n"/>
      <c r="N37" s="2" t="n"/>
      <c r="O37" s="2" t="n"/>
      <c r="P37" s="2" t="n"/>
    </row>
    <row r="38">
      <c r="A38" s="2" t="n"/>
      <c r="B38" s="84" t="n"/>
      <c r="C38" s="78" t="n"/>
      <c r="D38" s="78" t="n"/>
      <c r="E38" s="78" t="n"/>
      <c r="F38" s="73" t="n"/>
      <c r="G38" s="77" t="n"/>
      <c r="H38" s="85">
        <f>IF(OR($F38="",$G38=""),"",ROUND($F38*$G38,2))</f>
        <v/>
      </c>
      <c r="I38" s="85">
        <f>IF($F38="","",ROUND($F38*(1+IF($G38="",0,$G38)),2))</f>
        <v/>
      </c>
      <c r="J38" s="69" t="n"/>
      <c r="K38" s="86">
        <f>IF($B38="","",MONTH($B38))</f>
        <v/>
      </c>
      <c r="L38" s="2" t="n"/>
      <c r="M38" s="2" t="n"/>
      <c r="N38" s="2" t="n"/>
      <c r="O38" s="2" t="n"/>
      <c r="P38" s="2" t="n"/>
    </row>
    <row r="39">
      <c r="A39" s="2" t="n"/>
      <c r="B39" s="84" t="n"/>
      <c r="C39" s="78" t="n"/>
      <c r="D39" s="78" t="n"/>
      <c r="E39" s="78" t="n"/>
      <c r="F39" s="73" t="n"/>
      <c r="G39" s="77" t="n"/>
      <c r="H39" s="87">
        <f>IF(OR($F39="",$G39=""),"",ROUND($F39*$G39,2))</f>
        <v/>
      </c>
      <c r="I39" s="87">
        <f>IF($F39="","",ROUND($F39*(1+IF($G39="",0,$G39)),2))</f>
        <v/>
      </c>
      <c r="J39" s="69" t="n"/>
      <c r="K39" s="88">
        <f>IF($B39="","",MONTH($B39))</f>
        <v/>
      </c>
      <c r="L39" s="2" t="n"/>
      <c r="M39" s="2" t="n"/>
      <c r="N39" s="2" t="n"/>
      <c r="O39" s="2" t="n"/>
      <c r="P39" s="2" t="n"/>
    </row>
    <row r="40">
      <c r="A40" s="2" t="n"/>
      <c r="B40" s="84" t="n"/>
      <c r="C40" s="78" t="n"/>
      <c r="D40" s="78" t="n"/>
      <c r="E40" s="78" t="n"/>
      <c r="F40" s="73" t="n"/>
      <c r="G40" s="77" t="n"/>
      <c r="H40" s="85">
        <f>IF(OR($F40="",$G40=""),"",ROUND($F40*$G40,2))</f>
        <v/>
      </c>
      <c r="I40" s="85">
        <f>IF($F40="","",ROUND($F40*(1+IF($G40="",0,$G40)),2))</f>
        <v/>
      </c>
      <c r="J40" s="69" t="n"/>
      <c r="K40" s="86">
        <f>IF($B40="","",MONTH($B40))</f>
        <v/>
      </c>
      <c r="L40" s="2" t="n"/>
      <c r="M40" s="2" t="n"/>
      <c r="N40" s="2" t="n"/>
      <c r="O40" s="2" t="n"/>
      <c r="P40" s="2" t="n"/>
    </row>
    <row r="41">
      <c r="A41" s="2" t="n"/>
      <c r="B41" s="84" t="n"/>
      <c r="C41" s="78" t="n"/>
      <c r="D41" s="78" t="n"/>
      <c r="E41" s="78" t="n"/>
      <c r="F41" s="73" t="n"/>
      <c r="G41" s="77" t="n"/>
      <c r="H41" s="87">
        <f>IF(OR($F41="",$G41=""),"",ROUND($F41*$G41,2))</f>
        <v/>
      </c>
      <c r="I41" s="87">
        <f>IF($F41="","",ROUND($F41*(1+IF($G41="",0,$G41)),2))</f>
        <v/>
      </c>
      <c r="J41" s="69" t="n"/>
      <c r="K41" s="88">
        <f>IF($B41="","",MONTH($B41))</f>
        <v/>
      </c>
      <c r="L41" s="2" t="n"/>
      <c r="M41" s="2" t="n"/>
      <c r="N41" s="2" t="n"/>
      <c r="O41" s="2" t="n"/>
      <c r="P41" s="2" t="n"/>
    </row>
    <row r="42">
      <c r="A42" s="2" t="n"/>
      <c r="B42" s="84" t="n"/>
      <c r="C42" s="78" t="n"/>
      <c r="D42" s="78" t="n"/>
      <c r="E42" s="78" t="n"/>
      <c r="F42" s="73" t="n"/>
      <c r="G42" s="77" t="n"/>
      <c r="H42" s="85">
        <f>IF(OR($F42="",$G42=""),"",ROUND($F42*$G42,2))</f>
        <v/>
      </c>
      <c r="I42" s="85">
        <f>IF($F42="","",ROUND($F42*(1+IF($G42="",0,$G42)),2))</f>
        <v/>
      </c>
      <c r="J42" s="69" t="n"/>
      <c r="K42" s="86">
        <f>IF($B42="","",MONTH($B42))</f>
        <v/>
      </c>
      <c r="L42" s="2" t="n"/>
      <c r="M42" s="2" t="n"/>
      <c r="N42" s="2" t="n"/>
      <c r="O42" s="2" t="n"/>
      <c r="P42" s="2" t="n"/>
    </row>
    <row r="43">
      <c r="A43" s="2" t="n"/>
      <c r="B43" s="84" t="n"/>
      <c r="C43" s="78" t="n"/>
      <c r="D43" s="78" t="n"/>
      <c r="E43" s="78" t="n"/>
      <c r="F43" s="73" t="n"/>
      <c r="G43" s="77" t="n"/>
      <c r="H43" s="87">
        <f>IF(OR($F43="",$G43=""),"",ROUND($F43*$G43,2))</f>
        <v/>
      </c>
      <c r="I43" s="87">
        <f>IF($F43="","",ROUND($F43*(1+IF($G43="",0,$G43)),2))</f>
        <v/>
      </c>
      <c r="J43" s="69" t="n"/>
      <c r="K43" s="88">
        <f>IF($B43="","",MONTH($B43))</f>
        <v/>
      </c>
      <c r="L43" s="2" t="n"/>
      <c r="M43" s="2" t="n"/>
      <c r="N43" s="2" t="n"/>
      <c r="O43" s="2" t="n"/>
      <c r="P43" s="2" t="n"/>
    </row>
    <row r="44">
      <c r="A44" s="2" t="n"/>
      <c r="B44" s="84" t="n"/>
      <c r="C44" s="78" t="n"/>
      <c r="D44" s="78" t="n"/>
      <c r="E44" s="78" t="n"/>
      <c r="F44" s="73" t="n"/>
      <c r="G44" s="77" t="n"/>
      <c r="H44" s="85">
        <f>IF(OR($F44="",$G44=""),"",ROUND($F44*$G44,2))</f>
        <v/>
      </c>
      <c r="I44" s="85">
        <f>IF($F44="","",ROUND($F44*(1+IF($G44="",0,$G44)),2))</f>
        <v/>
      </c>
      <c r="J44" s="69" t="n"/>
      <c r="K44" s="86">
        <f>IF($B44="","",MONTH($B44))</f>
        <v/>
      </c>
      <c r="L44" s="2" t="n"/>
      <c r="M44" s="2" t="n"/>
      <c r="N44" s="2" t="n"/>
      <c r="O44" s="2" t="n"/>
      <c r="P44" s="2" t="n"/>
    </row>
    <row r="45">
      <c r="A45" s="2" t="n"/>
      <c r="B45" s="84" t="n"/>
      <c r="C45" s="78" t="n"/>
      <c r="D45" s="78" t="n"/>
      <c r="E45" s="78" t="n"/>
      <c r="F45" s="73" t="n"/>
      <c r="G45" s="77" t="n"/>
      <c r="H45" s="87">
        <f>IF(OR($F45="",$G45=""),"",ROUND($F45*$G45,2))</f>
        <v/>
      </c>
      <c r="I45" s="87">
        <f>IF($F45="","",ROUND($F45*(1+IF($G45="",0,$G45)),2))</f>
        <v/>
      </c>
      <c r="J45" s="69" t="n"/>
      <c r="K45" s="88">
        <f>IF($B45="","",MONTH($B45))</f>
        <v/>
      </c>
      <c r="L45" s="2" t="n"/>
      <c r="M45" s="2" t="n"/>
      <c r="N45" s="2" t="n"/>
      <c r="O45" s="2" t="n"/>
      <c r="P45" s="2" t="n"/>
    </row>
    <row r="46">
      <c r="A46" s="2" t="n"/>
      <c r="B46" s="84" t="n"/>
      <c r="C46" s="78" t="n"/>
      <c r="D46" s="78" t="n"/>
      <c r="E46" s="78" t="n"/>
      <c r="F46" s="73" t="n"/>
      <c r="G46" s="77" t="n"/>
      <c r="H46" s="85">
        <f>IF(OR($F46="",$G46=""),"",ROUND($F46*$G46,2))</f>
        <v/>
      </c>
      <c r="I46" s="85">
        <f>IF($F46="","",ROUND($F46*(1+IF($G46="",0,$G46)),2))</f>
        <v/>
      </c>
      <c r="J46" s="69" t="n"/>
      <c r="K46" s="86">
        <f>IF($B46="","",MONTH($B46))</f>
        <v/>
      </c>
      <c r="L46" s="2" t="n"/>
      <c r="M46" s="2" t="n"/>
      <c r="N46" s="2" t="n"/>
      <c r="O46" s="2" t="n"/>
      <c r="P46" s="2" t="n"/>
    </row>
    <row r="47">
      <c r="A47" s="2" t="n"/>
      <c r="B47" s="84" t="n"/>
      <c r="C47" s="78" t="n"/>
      <c r="D47" s="78" t="n"/>
      <c r="E47" s="78" t="n"/>
      <c r="F47" s="73" t="n"/>
      <c r="G47" s="77" t="n"/>
      <c r="H47" s="87">
        <f>IF(OR($F47="",$G47=""),"",ROUND($F47*$G47,2))</f>
        <v/>
      </c>
      <c r="I47" s="87">
        <f>IF($F47="","",ROUND($F47*(1+IF($G47="",0,$G47)),2))</f>
        <v/>
      </c>
      <c r="J47" s="69" t="n"/>
      <c r="K47" s="88">
        <f>IF($B47="","",MONTH($B47))</f>
        <v/>
      </c>
      <c r="L47" s="2" t="n"/>
      <c r="M47" s="2" t="n"/>
      <c r="N47" s="2" t="n"/>
      <c r="O47" s="2" t="n"/>
      <c r="P47" s="2" t="n"/>
    </row>
    <row r="48">
      <c r="A48" s="2" t="n"/>
      <c r="B48" s="84" t="n"/>
      <c r="C48" s="78" t="n"/>
      <c r="D48" s="78" t="n"/>
      <c r="E48" s="78" t="n"/>
      <c r="F48" s="73" t="n"/>
      <c r="G48" s="77" t="n"/>
      <c r="H48" s="85">
        <f>IF(OR($F48="",$G48=""),"",ROUND($F48*$G48,2))</f>
        <v/>
      </c>
      <c r="I48" s="85">
        <f>IF($F48="","",ROUND($F48*(1+IF($G48="",0,$G48)),2))</f>
        <v/>
      </c>
      <c r="J48" s="69" t="n"/>
      <c r="K48" s="86">
        <f>IF($B48="","",MONTH($B48))</f>
        <v/>
      </c>
      <c r="L48" s="2" t="n"/>
      <c r="M48" s="2" t="n"/>
      <c r="N48" s="2" t="n"/>
      <c r="O48" s="2" t="n"/>
      <c r="P48" s="2" t="n"/>
    </row>
    <row r="49">
      <c r="A49" s="2" t="n"/>
      <c r="B49" s="84" t="n"/>
      <c r="C49" s="78" t="n"/>
      <c r="D49" s="78" t="n"/>
      <c r="E49" s="78" t="n"/>
      <c r="F49" s="73" t="n"/>
      <c r="G49" s="77" t="n"/>
      <c r="H49" s="87">
        <f>IF(OR($F49="",$G49=""),"",ROUND($F49*$G49,2))</f>
        <v/>
      </c>
      <c r="I49" s="87">
        <f>IF($F49="","",ROUND($F49*(1+IF($G49="",0,$G49)),2))</f>
        <v/>
      </c>
      <c r="J49" s="69" t="n"/>
      <c r="K49" s="88">
        <f>IF($B49="","",MONTH($B49))</f>
        <v/>
      </c>
      <c r="L49" s="2" t="n"/>
      <c r="M49" s="2" t="n"/>
      <c r="N49" s="2" t="n"/>
      <c r="O49" s="2" t="n"/>
      <c r="P49" s="2" t="n"/>
    </row>
    <row r="50">
      <c r="A50" s="2" t="n"/>
      <c r="B50" s="84" t="n"/>
      <c r="C50" s="78" t="n"/>
      <c r="D50" s="78" t="n"/>
      <c r="E50" s="78" t="n"/>
      <c r="F50" s="73" t="n"/>
      <c r="G50" s="77" t="n"/>
      <c r="H50" s="85">
        <f>IF(OR($F50="",$G50=""),"",ROUND($F50*$G50,2))</f>
        <v/>
      </c>
      <c r="I50" s="85">
        <f>IF($F50="","",ROUND($F50*(1+IF($G50="",0,$G50)),2))</f>
        <v/>
      </c>
      <c r="J50" s="69" t="n"/>
      <c r="K50" s="86">
        <f>IF($B50="","",MONTH($B50))</f>
        <v/>
      </c>
      <c r="L50" s="2" t="n"/>
      <c r="M50" s="2" t="n"/>
      <c r="N50" s="2" t="n"/>
      <c r="O50" s="2" t="n"/>
      <c r="P50" s="2" t="n"/>
    </row>
    <row r="51">
      <c r="A51" s="2" t="n"/>
      <c r="B51" s="84" t="n"/>
      <c r="C51" s="78" t="n"/>
      <c r="D51" s="78" t="n"/>
      <c r="E51" s="78" t="n"/>
      <c r="F51" s="73" t="n"/>
      <c r="G51" s="77" t="n"/>
      <c r="H51" s="87">
        <f>IF(OR($F51="",$G51=""),"",ROUND($F51*$G51,2))</f>
        <v/>
      </c>
      <c r="I51" s="87">
        <f>IF($F51="","",ROUND($F51*(1+IF($G51="",0,$G51)),2))</f>
        <v/>
      </c>
      <c r="J51" s="69" t="n"/>
      <c r="K51" s="88">
        <f>IF($B51="","",MONTH($B51))</f>
        <v/>
      </c>
      <c r="L51" s="2" t="n"/>
      <c r="M51" s="2" t="n"/>
      <c r="N51" s="2" t="n"/>
      <c r="O51" s="2" t="n"/>
      <c r="P51" s="2" t="n"/>
    </row>
    <row r="52">
      <c r="A52" s="2" t="n"/>
      <c r="B52" s="84" t="n"/>
      <c r="C52" s="78" t="n"/>
      <c r="D52" s="78" t="n"/>
      <c r="E52" s="78" t="n"/>
      <c r="F52" s="73" t="n"/>
      <c r="G52" s="77" t="n"/>
      <c r="H52" s="85">
        <f>IF(OR($F52="",$G52=""),"",ROUND($F52*$G52,2))</f>
        <v/>
      </c>
      <c r="I52" s="85">
        <f>IF($F52="","",ROUND($F52*(1+IF($G52="",0,$G52)),2))</f>
        <v/>
      </c>
      <c r="J52" s="69" t="n"/>
      <c r="K52" s="86">
        <f>IF($B52="","",MONTH($B52))</f>
        <v/>
      </c>
      <c r="L52" s="2" t="n"/>
      <c r="M52" s="2" t="n"/>
      <c r="N52" s="2" t="n"/>
      <c r="O52" s="2" t="n"/>
      <c r="P52" s="2" t="n"/>
    </row>
    <row r="53">
      <c r="A53" s="2" t="n"/>
      <c r="B53" s="84" t="n"/>
      <c r="C53" s="78" t="n"/>
      <c r="D53" s="78" t="n"/>
      <c r="E53" s="78" t="n"/>
      <c r="F53" s="73" t="n"/>
      <c r="G53" s="77" t="n"/>
      <c r="H53" s="87">
        <f>IF(OR($F53="",$G53=""),"",ROUND($F53*$G53,2))</f>
        <v/>
      </c>
      <c r="I53" s="87">
        <f>IF($F53="","",ROUND($F53*(1+IF($G53="",0,$G53)),2))</f>
        <v/>
      </c>
      <c r="J53" s="69" t="n"/>
      <c r="K53" s="88">
        <f>IF($B53="","",MONTH($B53))</f>
        <v/>
      </c>
      <c r="L53" s="2" t="n"/>
      <c r="M53" s="2" t="n"/>
      <c r="N53" s="2" t="n"/>
      <c r="O53" s="2" t="n"/>
      <c r="P53" s="2" t="n"/>
    </row>
    <row r="54">
      <c r="A54" s="2" t="n"/>
      <c r="B54" s="84" t="n"/>
      <c r="C54" s="78" t="n"/>
      <c r="D54" s="78" t="n"/>
      <c r="E54" s="78" t="n"/>
      <c r="F54" s="73" t="n"/>
      <c r="G54" s="77" t="n"/>
      <c r="H54" s="85">
        <f>IF(OR($F54="",$G54=""),"",ROUND($F54*$G54,2))</f>
        <v/>
      </c>
      <c r="I54" s="85">
        <f>IF($F54="","",ROUND($F54*(1+IF($G54="",0,$G54)),2))</f>
        <v/>
      </c>
      <c r="J54" s="69" t="n"/>
      <c r="K54" s="86">
        <f>IF($B54="","",MONTH($B54))</f>
        <v/>
      </c>
      <c r="L54" s="2" t="n"/>
      <c r="M54" s="2" t="n"/>
      <c r="N54" s="2" t="n"/>
      <c r="O54" s="2" t="n"/>
      <c r="P54" s="2" t="n"/>
    </row>
    <row r="55">
      <c r="A55" s="2" t="n"/>
      <c r="B55" s="84" t="n"/>
      <c r="C55" s="78" t="n"/>
      <c r="D55" s="78" t="n"/>
      <c r="E55" s="78" t="n"/>
      <c r="F55" s="73" t="n"/>
      <c r="G55" s="77" t="n"/>
      <c r="H55" s="87">
        <f>IF(OR($F55="",$G55=""),"",ROUND($F55*$G55,2))</f>
        <v/>
      </c>
      <c r="I55" s="87">
        <f>IF($F55="","",ROUND($F55*(1+IF($G55="",0,$G55)),2))</f>
        <v/>
      </c>
      <c r="J55" s="69" t="n"/>
      <c r="K55" s="88">
        <f>IF($B55="","",MONTH($B55))</f>
        <v/>
      </c>
      <c r="L55" s="2" t="n"/>
      <c r="M55" s="2" t="n"/>
      <c r="N55" s="2" t="n"/>
      <c r="O55" s="2" t="n"/>
      <c r="P55" s="2" t="n"/>
    </row>
    <row r="56">
      <c r="A56" s="2" t="n"/>
      <c r="B56" s="84" t="n"/>
      <c r="C56" s="78" t="n"/>
      <c r="D56" s="78" t="n"/>
      <c r="E56" s="78" t="n"/>
      <c r="F56" s="73" t="n"/>
      <c r="G56" s="77" t="n"/>
      <c r="H56" s="85">
        <f>IF(OR($F56="",$G56=""),"",ROUND($F56*$G56,2))</f>
        <v/>
      </c>
      <c r="I56" s="85">
        <f>IF($F56="","",ROUND($F56*(1+IF($G56="",0,$G56)),2))</f>
        <v/>
      </c>
      <c r="J56" s="69" t="n"/>
      <c r="K56" s="86">
        <f>IF($B56="","",MONTH($B56))</f>
        <v/>
      </c>
      <c r="L56" s="2" t="n"/>
      <c r="M56" s="2" t="n"/>
      <c r="N56" s="2" t="n"/>
      <c r="O56" s="2" t="n"/>
      <c r="P56" s="2" t="n"/>
    </row>
    <row r="57">
      <c r="A57" s="2" t="n"/>
      <c r="B57" s="84" t="n"/>
      <c r="C57" s="78" t="n"/>
      <c r="D57" s="78" t="n"/>
      <c r="E57" s="78" t="n"/>
      <c r="F57" s="73" t="n"/>
      <c r="G57" s="77" t="n"/>
      <c r="H57" s="87">
        <f>IF(OR($F57="",$G57=""),"",ROUND($F57*$G57,2))</f>
        <v/>
      </c>
      <c r="I57" s="87">
        <f>IF($F57="","",ROUND($F57*(1+IF($G57="",0,$G57)),2))</f>
        <v/>
      </c>
      <c r="J57" s="69" t="n"/>
      <c r="K57" s="88">
        <f>IF($B57="","",MONTH($B57))</f>
        <v/>
      </c>
      <c r="L57" s="2" t="n"/>
      <c r="M57" s="2" t="n"/>
      <c r="N57" s="2" t="n"/>
      <c r="O57" s="2" t="n"/>
      <c r="P57" s="2" t="n"/>
    </row>
    <row r="58">
      <c r="A58" s="2" t="n"/>
      <c r="B58" s="84" t="n"/>
      <c r="C58" s="78" t="n"/>
      <c r="D58" s="78" t="n"/>
      <c r="E58" s="78" t="n"/>
      <c r="F58" s="73" t="n"/>
      <c r="G58" s="77" t="n"/>
      <c r="H58" s="85">
        <f>IF(OR($F58="",$G58=""),"",ROUND($F58*$G58,2))</f>
        <v/>
      </c>
      <c r="I58" s="85">
        <f>IF($F58="","",ROUND($F58*(1+IF($G58="",0,$G58)),2))</f>
        <v/>
      </c>
      <c r="J58" s="69" t="n"/>
      <c r="K58" s="86">
        <f>IF($B58="","",MONTH($B58))</f>
        <v/>
      </c>
      <c r="L58" s="2" t="n"/>
      <c r="M58" s="2" t="n"/>
      <c r="N58" s="2" t="n"/>
      <c r="O58" s="2" t="n"/>
      <c r="P58" s="2" t="n"/>
    </row>
    <row r="59">
      <c r="A59" s="2" t="n"/>
      <c r="B59" s="84" t="n"/>
      <c r="C59" s="78" t="n"/>
      <c r="D59" s="78" t="n"/>
      <c r="E59" s="78" t="n"/>
      <c r="F59" s="73" t="n"/>
      <c r="G59" s="77" t="n"/>
      <c r="H59" s="87">
        <f>IF(OR($F59="",$G59=""),"",ROUND($F59*$G59,2))</f>
        <v/>
      </c>
      <c r="I59" s="87">
        <f>IF($F59="","",ROUND($F59*(1+IF($G59="",0,$G59)),2))</f>
        <v/>
      </c>
      <c r="J59" s="69" t="n"/>
      <c r="K59" s="88">
        <f>IF($B59="","",MONTH($B59))</f>
        <v/>
      </c>
      <c r="L59" s="2" t="n"/>
      <c r="M59" s="2" t="n"/>
      <c r="N59" s="2" t="n"/>
      <c r="O59" s="2" t="n"/>
      <c r="P59" s="2" t="n"/>
    </row>
    <row r="60">
      <c r="A60" s="2" t="n"/>
      <c r="B60" s="84" t="n"/>
      <c r="C60" s="78" t="n"/>
      <c r="D60" s="78" t="n"/>
      <c r="E60" s="78" t="n"/>
      <c r="F60" s="73" t="n"/>
      <c r="G60" s="77" t="n"/>
      <c r="H60" s="85">
        <f>IF(OR($F60="",$G60=""),"",ROUND($F60*$G60,2))</f>
        <v/>
      </c>
      <c r="I60" s="85">
        <f>IF($F60="","",ROUND($F60*(1+IF($G60="",0,$G60)),2))</f>
        <v/>
      </c>
      <c r="J60" s="69" t="n"/>
      <c r="K60" s="86">
        <f>IF($B60="","",MONTH($B60))</f>
        <v/>
      </c>
      <c r="L60" s="2" t="n"/>
      <c r="M60" s="2" t="n"/>
      <c r="N60" s="2" t="n"/>
      <c r="O60" s="2" t="n"/>
      <c r="P60" s="2" t="n"/>
    </row>
    <row r="61">
      <c r="A61" s="2" t="n"/>
      <c r="B61" s="84" t="n"/>
      <c r="C61" s="78" t="n"/>
      <c r="D61" s="78" t="n"/>
      <c r="E61" s="78" t="n"/>
      <c r="F61" s="73" t="n"/>
      <c r="G61" s="77" t="n"/>
      <c r="H61" s="87">
        <f>IF(OR($F61="",$G61=""),"",ROUND($F61*$G61,2))</f>
        <v/>
      </c>
      <c r="I61" s="87">
        <f>IF($F61="","",ROUND($F61*(1+IF($G61="",0,$G61)),2))</f>
        <v/>
      </c>
      <c r="J61" s="69" t="n"/>
      <c r="K61" s="88">
        <f>IF($B61="","",MONTH($B61))</f>
        <v/>
      </c>
      <c r="L61" s="2" t="n"/>
      <c r="M61" s="2" t="n"/>
      <c r="N61" s="2" t="n"/>
      <c r="O61" s="2" t="n"/>
      <c r="P61" s="2" t="n"/>
    </row>
    <row r="62">
      <c r="A62" s="2" t="n"/>
      <c r="B62" s="84" t="n"/>
      <c r="C62" s="78" t="n"/>
      <c r="D62" s="78" t="n"/>
      <c r="E62" s="78" t="n"/>
      <c r="F62" s="73" t="n"/>
      <c r="G62" s="77" t="n"/>
      <c r="H62" s="85">
        <f>IF(OR($F62="",$G62=""),"",ROUND($F62*$G62,2))</f>
        <v/>
      </c>
      <c r="I62" s="85">
        <f>IF($F62="","",ROUND($F62*(1+IF($G62="",0,$G62)),2))</f>
        <v/>
      </c>
      <c r="J62" s="69" t="n"/>
      <c r="K62" s="86">
        <f>IF($B62="","",MONTH($B62))</f>
        <v/>
      </c>
      <c r="L62" s="2" t="n"/>
      <c r="M62" s="2" t="n"/>
      <c r="N62" s="2" t="n"/>
      <c r="O62" s="2" t="n"/>
      <c r="P62" s="2" t="n"/>
    </row>
    <row r="63">
      <c r="A63" s="2" t="n"/>
      <c r="B63" s="84" t="n"/>
      <c r="C63" s="78" t="n"/>
      <c r="D63" s="78" t="n"/>
      <c r="E63" s="78" t="n"/>
      <c r="F63" s="73" t="n"/>
      <c r="G63" s="77" t="n"/>
      <c r="H63" s="87">
        <f>IF(OR($F63="",$G63=""),"",ROUND($F63*$G63,2))</f>
        <v/>
      </c>
      <c r="I63" s="87">
        <f>IF($F63="","",ROUND($F63*(1+IF($G63="",0,$G63)),2))</f>
        <v/>
      </c>
      <c r="J63" s="69" t="n"/>
      <c r="K63" s="88">
        <f>IF($B63="","",MONTH($B63))</f>
        <v/>
      </c>
      <c r="L63" s="2" t="n"/>
      <c r="M63" s="2" t="n"/>
      <c r="N63" s="2" t="n"/>
      <c r="O63" s="2" t="n"/>
      <c r="P63" s="2" t="n"/>
    </row>
    <row r="64">
      <c r="A64" s="2" t="n"/>
      <c r="B64" s="84" t="n"/>
      <c r="C64" s="78" t="n"/>
      <c r="D64" s="78" t="n"/>
      <c r="E64" s="78" t="n"/>
      <c r="F64" s="73" t="n"/>
      <c r="G64" s="77" t="n"/>
      <c r="H64" s="85">
        <f>IF(OR($F64="",$G64=""),"",ROUND($F64*$G64,2))</f>
        <v/>
      </c>
      <c r="I64" s="85">
        <f>IF($F64="","",ROUND($F64*(1+IF($G64="",0,$G64)),2))</f>
        <v/>
      </c>
      <c r="J64" s="69" t="n"/>
      <c r="K64" s="86">
        <f>IF($B64="","",MONTH($B64))</f>
        <v/>
      </c>
      <c r="L64" s="2" t="n"/>
      <c r="M64" s="2" t="n"/>
      <c r="N64" s="2" t="n"/>
      <c r="O64" s="2" t="n"/>
      <c r="P64" s="2" t="n"/>
    </row>
    <row r="65">
      <c r="A65" s="2" t="n"/>
      <c r="B65" s="84" t="n"/>
      <c r="C65" s="78" t="n"/>
      <c r="D65" s="78" t="n"/>
      <c r="E65" s="78" t="n"/>
      <c r="F65" s="73" t="n"/>
      <c r="G65" s="77" t="n"/>
      <c r="H65" s="87">
        <f>IF(OR($F65="",$G65=""),"",ROUND($F65*$G65,2))</f>
        <v/>
      </c>
      <c r="I65" s="87">
        <f>IF($F65="","",ROUND($F65*(1+IF($G65="",0,$G65)),2))</f>
        <v/>
      </c>
      <c r="J65" s="69" t="n"/>
      <c r="K65" s="88">
        <f>IF($B65="","",MONTH($B65))</f>
        <v/>
      </c>
      <c r="L65" s="2" t="n"/>
      <c r="M65" s="2" t="n"/>
      <c r="N65" s="2" t="n"/>
      <c r="O65" s="2" t="n"/>
      <c r="P65" s="2" t="n"/>
    </row>
    <row r="66">
      <c r="A66" s="2" t="n"/>
      <c r="B66" s="84" t="n"/>
      <c r="C66" s="78" t="n"/>
      <c r="D66" s="78" t="n"/>
      <c r="E66" s="78" t="n"/>
      <c r="F66" s="73" t="n"/>
      <c r="G66" s="77" t="n"/>
      <c r="H66" s="85">
        <f>IF(OR($F66="",$G66=""),"",ROUND($F66*$G66,2))</f>
        <v/>
      </c>
      <c r="I66" s="85">
        <f>IF($F66="","",ROUND($F66*(1+IF($G66="",0,$G66)),2))</f>
        <v/>
      </c>
      <c r="J66" s="69" t="n"/>
      <c r="K66" s="86">
        <f>IF($B66="","",MONTH($B66))</f>
        <v/>
      </c>
      <c r="L66" s="2" t="n"/>
      <c r="M66" s="2" t="n"/>
      <c r="N66" s="2" t="n"/>
      <c r="O66" s="2" t="n"/>
      <c r="P66" s="2" t="n"/>
    </row>
    <row r="67">
      <c r="A67" s="2" t="n"/>
      <c r="B67" s="84" t="n"/>
      <c r="C67" s="78" t="n"/>
      <c r="D67" s="78" t="n"/>
      <c r="E67" s="78" t="n"/>
      <c r="F67" s="73" t="n"/>
      <c r="G67" s="77" t="n"/>
      <c r="H67" s="87">
        <f>IF(OR($F67="",$G67=""),"",ROUND($F67*$G67,2))</f>
        <v/>
      </c>
      <c r="I67" s="87">
        <f>IF($F67="","",ROUND($F67*(1+IF($G67="",0,$G67)),2))</f>
        <v/>
      </c>
      <c r="J67" s="69" t="n"/>
      <c r="K67" s="88">
        <f>IF($B67="","",MONTH($B67))</f>
        <v/>
      </c>
      <c r="L67" s="2" t="n"/>
      <c r="M67" s="2" t="n"/>
      <c r="N67" s="2" t="n"/>
      <c r="O67" s="2" t="n"/>
      <c r="P67" s="2" t="n"/>
    </row>
    <row r="68">
      <c r="A68" s="2" t="n"/>
      <c r="B68" s="84" t="n"/>
      <c r="C68" s="78" t="n"/>
      <c r="D68" s="78" t="n"/>
      <c r="E68" s="78" t="n"/>
      <c r="F68" s="73" t="n"/>
      <c r="G68" s="77" t="n"/>
      <c r="H68" s="85">
        <f>IF(OR($F68="",$G68=""),"",ROUND($F68*$G68,2))</f>
        <v/>
      </c>
      <c r="I68" s="85">
        <f>IF($F68="","",ROUND($F68*(1+IF($G68="",0,$G68)),2))</f>
        <v/>
      </c>
      <c r="J68" s="69" t="n"/>
      <c r="K68" s="86">
        <f>IF($B68="","",MONTH($B68))</f>
        <v/>
      </c>
      <c r="L68" s="2" t="n"/>
      <c r="M68" s="2" t="n"/>
      <c r="N68" s="2" t="n"/>
      <c r="O68" s="2" t="n"/>
      <c r="P68" s="2" t="n"/>
    </row>
    <row r="69">
      <c r="A69" s="2" t="n"/>
      <c r="B69" s="84" t="n"/>
      <c r="C69" s="78" t="n"/>
      <c r="D69" s="78" t="n"/>
      <c r="E69" s="78" t="n"/>
      <c r="F69" s="73" t="n"/>
      <c r="G69" s="77" t="n"/>
      <c r="H69" s="87">
        <f>IF(OR($F69="",$G69=""),"",ROUND($F69*$G69,2))</f>
        <v/>
      </c>
      <c r="I69" s="87">
        <f>IF($F69="","",ROUND($F69*(1+IF($G69="",0,$G69)),2))</f>
        <v/>
      </c>
      <c r="J69" s="69" t="n"/>
      <c r="K69" s="88">
        <f>IF($B69="","",MONTH($B69))</f>
        <v/>
      </c>
      <c r="L69" s="2" t="n"/>
      <c r="M69" s="2" t="n"/>
      <c r="N69" s="2" t="n"/>
      <c r="O69" s="2" t="n"/>
      <c r="P69" s="2" t="n"/>
    </row>
    <row r="70">
      <c r="A70" s="2" t="n"/>
      <c r="B70" s="84" t="n"/>
      <c r="C70" s="78" t="n"/>
      <c r="D70" s="78" t="n"/>
      <c r="E70" s="78" t="n"/>
      <c r="F70" s="73" t="n"/>
      <c r="G70" s="77" t="n"/>
      <c r="H70" s="85">
        <f>IF(OR($F70="",$G70=""),"",ROUND($F70*$G70,2))</f>
        <v/>
      </c>
      <c r="I70" s="85">
        <f>IF($F70="","",ROUND($F70*(1+IF($G70="",0,$G70)),2))</f>
        <v/>
      </c>
      <c r="J70" s="69" t="n"/>
      <c r="K70" s="86">
        <f>IF($B70="","",MONTH($B70))</f>
        <v/>
      </c>
      <c r="L70" s="2" t="n"/>
      <c r="M70" s="2" t="n"/>
      <c r="N70" s="2" t="n"/>
      <c r="O70" s="2" t="n"/>
      <c r="P70" s="2" t="n"/>
    </row>
    <row r="71">
      <c r="A71" s="2" t="n"/>
      <c r="B71" s="84" t="n"/>
      <c r="C71" s="78" t="n"/>
      <c r="D71" s="78" t="n"/>
      <c r="E71" s="78" t="n"/>
      <c r="F71" s="73" t="n"/>
      <c r="G71" s="77" t="n"/>
      <c r="H71" s="87">
        <f>IF(OR($F71="",$G71=""),"",ROUND($F71*$G71,2))</f>
        <v/>
      </c>
      <c r="I71" s="87">
        <f>IF($F71="","",ROUND($F71*(1+IF($G71="",0,$G71)),2))</f>
        <v/>
      </c>
      <c r="J71" s="69" t="n"/>
      <c r="K71" s="88">
        <f>IF($B71="","",MONTH($B71))</f>
        <v/>
      </c>
      <c r="L71" s="2" t="n"/>
      <c r="M71" s="2" t="n"/>
      <c r="N71" s="2" t="n"/>
      <c r="O71" s="2" t="n"/>
      <c r="P71" s="2" t="n"/>
    </row>
    <row r="72">
      <c r="A72" s="2" t="n"/>
      <c r="B72" s="84" t="n"/>
      <c r="C72" s="78" t="n"/>
      <c r="D72" s="78" t="n"/>
      <c r="E72" s="78" t="n"/>
      <c r="F72" s="73" t="n"/>
      <c r="G72" s="77" t="n"/>
      <c r="H72" s="85">
        <f>IF(OR($F72="",$G72=""),"",ROUND($F72*$G72,2))</f>
        <v/>
      </c>
      <c r="I72" s="85">
        <f>IF($F72="","",ROUND($F72*(1+IF($G72="",0,$G72)),2))</f>
        <v/>
      </c>
      <c r="J72" s="69" t="n"/>
      <c r="K72" s="86">
        <f>IF($B72="","",MONTH($B72))</f>
        <v/>
      </c>
      <c r="L72" s="2" t="n"/>
      <c r="M72" s="2" t="n"/>
      <c r="N72" s="2" t="n"/>
      <c r="O72" s="2" t="n"/>
      <c r="P72" s="2" t="n"/>
    </row>
    <row r="73">
      <c r="A73" s="2" t="n"/>
      <c r="B73" s="84" t="n"/>
      <c r="C73" s="78" t="n"/>
      <c r="D73" s="78" t="n"/>
      <c r="E73" s="78" t="n"/>
      <c r="F73" s="73" t="n"/>
      <c r="G73" s="77" t="n"/>
      <c r="H73" s="87">
        <f>IF(OR($F73="",$G73=""),"",ROUND($F73*$G73,2))</f>
        <v/>
      </c>
      <c r="I73" s="87">
        <f>IF($F73="","",ROUND($F73*(1+IF($G73="",0,$G73)),2))</f>
        <v/>
      </c>
      <c r="J73" s="69" t="n"/>
      <c r="K73" s="88">
        <f>IF($B73="","",MONTH($B73))</f>
        <v/>
      </c>
      <c r="L73" s="2" t="n"/>
      <c r="M73" s="2" t="n"/>
      <c r="N73" s="2" t="n"/>
      <c r="O73" s="2" t="n"/>
      <c r="P73" s="2" t="n"/>
    </row>
    <row r="74">
      <c r="A74" s="2" t="n"/>
      <c r="B74" s="84" t="n"/>
      <c r="C74" s="78" t="n"/>
      <c r="D74" s="78" t="n"/>
      <c r="E74" s="78" t="n"/>
      <c r="F74" s="73" t="n"/>
      <c r="G74" s="77" t="n"/>
      <c r="H74" s="85">
        <f>IF(OR($F74="",$G74=""),"",ROUND($F74*$G74,2))</f>
        <v/>
      </c>
      <c r="I74" s="85">
        <f>IF($F74="","",ROUND($F74*(1+IF($G74="",0,$G74)),2))</f>
        <v/>
      </c>
      <c r="J74" s="69" t="n"/>
      <c r="K74" s="86">
        <f>IF($B74="","",MONTH($B74))</f>
        <v/>
      </c>
      <c r="L74" s="2" t="n"/>
      <c r="M74" s="2" t="n"/>
      <c r="N74" s="2" t="n"/>
      <c r="O74" s="2" t="n"/>
      <c r="P74" s="2" t="n"/>
    </row>
    <row r="75">
      <c r="A75" s="2" t="n"/>
      <c r="B75" s="84" t="n"/>
      <c r="C75" s="78" t="n"/>
      <c r="D75" s="78" t="n"/>
      <c r="E75" s="78" t="n"/>
      <c r="F75" s="73" t="n"/>
      <c r="G75" s="77" t="n"/>
      <c r="H75" s="87">
        <f>IF(OR($F75="",$G75=""),"",ROUND($F75*$G75,2))</f>
        <v/>
      </c>
      <c r="I75" s="87">
        <f>IF($F75="","",ROUND($F75*(1+IF($G75="",0,$G75)),2))</f>
        <v/>
      </c>
      <c r="J75" s="69" t="n"/>
      <c r="K75" s="88">
        <f>IF($B75="","",MONTH($B75))</f>
        <v/>
      </c>
      <c r="L75" s="2" t="n"/>
      <c r="M75" s="2" t="n"/>
      <c r="N75" s="2" t="n"/>
      <c r="O75" s="2" t="n"/>
      <c r="P75" s="2" t="n"/>
    </row>
    <row r="76">
      <c r="A76" s="2" t="n"/>
      <c r="B76" s="84" t="n"/>
      <c r="C76" s="78" t="n"/>
      <c r="D76" s="78" t="n"/>
      <c r="E76" s="78" t="n"/>
      <c r="F76" s="73" t="n"/>
      <c r="G76" s="77" t="n"/>
      <c r="H76" s="85">
        <f>IF(OR($F76="",$G76=""),"",ROUND($F76*$G76,2))</f>
        <v/>
      </c>
      <c r="I76" s="85">
        <f>IF($F76="","",ROUND($F76*(1+IF($G76="",0,$G76)),2))</f>
        <v/>
      </c>
      <c r="J76" s="69" t="n"/>
      <c r="K76" s="86">
        <f>IF($B76="","",MONTH($B76))</f>
        <v/>
      </c>
      <c r="L76" s="2" t="n"/>
      <c r="M76" s="2" t="n"/>
      <c r="N76" s="2" t="n"/>
      <c r="O76" s="2" t="n"/>
      <c r="P76" s="2" t="n"/>
    </row>
    <row r="77">
      <c r="A77" s="2" t="n"/>
      <c r="B77" s="84" t="n"/>
      <c r="C77" s="78" t="n"/>
      <c r="D77" s="78" t="n"/>
      <c r="E77" s="78" t="n"/>
      <c r="F77" s="73" t="n"/>
      <c r="G77" s="77" t="n"/>
      <c r="H77" s="87">
        <f>IF(OR($F77="",$G77=""),"",ROUND($F77*$G77,2))</f>
        <v/>
      </c>
      <c r="I77" s="87">
        <f>IF($F77="","",ROUND($F77*(1+IF($G77="",0,$G77)),2))</f>
        <v/>
      </c>
      <c r="J77" s="69" t="n"/>
      <c r="K77" s="88">
        <f>IF($B77="","",MONTH($B77))</f>
        <v/>
      </c>
      <c r="L77" s="2" t="n"/>
      <c r="M77" s="2" t="n"/>
      <c r="N77" s="2" t="n"/>
      <c r="O77" s="2" t="n"/>
      <c r="P77" s="2" t="n"/>
    </row>
    <row r="78">
      <c r="A78" s="2" t="n"/>
      <c r="B78" s="84" t="n"/>
      <c r="C78" s="78" t="n"/>
      <c r="D78" s="78" t="n"/>
      <c r="E78" s="78" t="n"/>
      <c r="F78" s="73" t="n"/>
      <c r="G78" s="77" t="n"/>
      <c r="H78" s="85">
        <f>IF(OR($F78="",$G78=""),"",ROUND($F78*$G78,2))</f>
        <v/>
      </c>
      <c r="I78" s="85">
        <f>IF($F78="","",ROUND($F78*(1+IF($G78="",0,$G78)),2))</f>
        <v/>
      </c>
      <c r="J78" s="69" t="n"/>
      <c r="K78" s="86">
        <f>IF($B78="","",MONTH($B78))</f>
        <v/>
      </c>
      <c r="L78" s="2" t="n"/>
      <c r="M78" s="2" t="n"/>
      <c r="N78" s="2" t="n"/>
      <c r="O78" s="2" t="n"/>
      <c r="P78" s="2" t="n"/>
    </row>
    <row r="79">
      <c r="A79" s="2" t="n"/>
      <c r="B79" s="84" t="n"/>
      <c r="C79" s="78" t="n"/>
      <c r="D79" s="78" t="n"/>
      <c r="E79" s="78" t="n"/>
      <c r="F79" s="73" t="n"/>
      <c r="G79" s="77" t="n"/>
      <c r="H79" s="87">
        <f>IF(OR($F79="",$G79=""),"",ROUND($F79*$G79,2))</f>
        <v/>
      </c>
      <c r="I79" s="87">
        <f>IF($F79="","",ROUND($F79*(1+IF($G79="",0,$G79)),2))</f>
        <v/>
      </c>
      <c r="J79" s="69" t="n"/>
      <c r="K79" s="88">
        <f>IF($B79="","",MONTH($B79))</f>
        <v/>
      </c>
      <c r="L79" s="2" t="n"/>
      <c r="M79" s="2" t="n"/>
      <c r="N79" s="2" t="n"/>
      <c r="O79" s="2" t="n"/>
      <c r="P79" s="2" t="n"/>
    </row>
    <row r="80">
      <c r="A80" s="2" t="n"/>
      <c r="B80" s="84" t="n"/>
      <c r="C80" s="78" t="n"/>
      <c r="D80" s="78" t="n"/>
      <c r="E80" s="78" t="n"/>
      <c r="F80" s="73" t="n"/>
      <c r="G80" s="77" t="n"/>
      <c r="H80" s="85">
        <f>IF(OR($F80="",$G80=""),"",ROUND($F80*$G80,2))</f>
        <v/>
      </c>
      <c r="I80" s="85">
        <f>IF($F80="","",ROUND($F80*(1+IF($G80="",0,$G80)),2))</f>
        <v/>
      </c>
      <c r="J80" s="69" t="n"/>
      <c r="K80" s="86">
        <f>IF($B80="","",MONTH($B80))</f>
        <v/>
      </c>
      <c r="L80" s="2" t="n"/>
      <c r="M80" s="2" t="n"/>
      <c r="N80" s="2" t="n"/>
      <c r="O80" s="2" t="n"/>
      <c r="P80" s="2" t="n"/>
    </row>
    <row r="81">
      <c r="A81" s="2" t="n"/>
      <c r="B81" s="84" t="n"/>
      <c r="C81" s="78" t="n"/>
      <c r="D81" s="78" t="n"/>
      <c r="E81" s="78" t="n"/>
      <c r="F81" s="73" t="n"/>
      <c r="G81" s="77" t="n"/>
      <c r="H81" s="87">
        <f>IF(OR($F81="",$G81=""),"",ROUND($F81*$G81,2))</f>
        <v/>
      </c>
      <c r="I81" s="87">
        <f>IF($F81="","",ROUND($F81*(1+IF($G81="",0,$G81)),2))</f>
        <v/>
      </c>
      <c r="J81" s="69" t="n"/>
      <c r="K81" s="88">
        <f>IF($B81="","",MONTH($B81))</f>
        <v/>
      </c>
      <c r="L81" s="2" t="n"/>
      <c r="M81" s="2" t="n"/>
      <c r="N81" s="2" t="n"/>
      <c r="O81" s="2" t="n"/>
      <c r="P81" s="2" t="n"/>
    </row>
    <row r="82">
      <c r="A82" s="2" t="n"/>
      <c r="B82" s="84" t="n"/>
      <c r="C82" s="78" t="n"/>
      <c r="D82" s="78" t="n"/>
      <c r="E82" s="78" t="n"/>
      <c r="F82" s="73" t="n"/>
      <c r="G82" s="77" t="n"/>
      <c r="H82" s="85">
        <f>IF(OR($F82="",$G82=""),"",ROUND($F82*$G82,2))</f>
        <v/>
      </c>
      <c r="I82" s="85">
        <f>IF($F82="","",ROUND($F82*(1+IF($G82="",0,$G82)),2))</f>
        <v/>
      </c>
      <c r="J82" s="69" t="n"/>
      <c r="K82" s="86">
        <f>IF($B82="","",MONTH($B82))</f>
        <v/>
      </c>
      <c r="L82" s="2" t="n"/>
      <c r="M82" s="2" t="n"/>
      <c r="N82" s="2" t="n"/>
      <c r="O82" s="2" t="n"/>
      <c r="P82" s="2" t="n"/>
    </row>
    <row r="83">
      <c r="A83" s="2" t="n"/>
      <c r="B83" s="84" t="n"/>
      <c r="C83" s="78" t="n"/>
      <c r="D83" s="78" t="n"/>
      <c r="E83" s="78" t="n"/>
      <c r="F83" s="73" t="n"/>
      <c r="G83" s="77" t="n"/>
      <c r="H83" s="87">
        <f>IF(OR($F83="",$G83=""),"",ROUND($F83*$G83,2))</f>
        <v/>
      </c>
      <c r="I83" s="87">
        <f>IF($F83="","",ROUND($F83*(1+IF($G83="",0,$G83)),2))</f>
        <v/>
      </c>
      <c r="J83" s="69" t="n"/>
      <c r="K83" s="88">
        <f>IF($B83="","",MONTH($B83))</f>
        <v/>
      </c>
      <c r="L83" s="2" t="n"/>
      <c r="M83" s="2" t="n"/>
      <c r="N83" s="2" t="n"/>
      <c r="O83" s="2" t="n"/>
      <c r="P83" s="2" t="n"/>
    </row>
    <row r="84">
      <c r="A84" s="2" t="n"/>
      <c r="B84" s="84" t="n"/>
      <c r="C84" s="78" t="n"/>
      <c r="D84" s="78" t="n"/>
      <c r="E84" s="78" t="n"/>
      <c r="F84" s="73" t="n"/>
      <c r="G84" s="77" t="n"/>
      <c r="H84" s="85">
        <f>IF(OR($F84="",$G84=""),"",ROUND($F84*$G84,2))</f>
        <v/>
      </c>
      <c r="I84" s="85">
        <f>IF($F84="","",ROUND($F84*(1+IF($G84="",0,$G84)),2))</f>
        <v/>
      </c>
      <c r="J84" s="69" t="n"/>
      <c r="K84" s="86">
        <f>IF($B84="","",MONTH($B84))</f>
        <v/>
      </c>
      <c r="L84" s="2" t="n"/>
      <c r="M84" s="2" t="n"/>
      <c r="N84" s="2" t="n"/>
      <c r="O84" s="2" t="n"/>
      <c r="P84" s="2" t="n"/>
    </row>
    <row r="85">
      <c r="A85" s="2" t="n"/>
      <c r="B85" s="84" t="n"/>
      <c r="C85" s="78" t="n"/>
      <c r="D85" s="78" t="n"/>
      <c r="E85" s="78" t="n"/>
      <c r="F85" s="73" t="n"/>
      <c r="G85" s="77" t="n"/>
      <c r="H85" s="87">
        <f>IF(OR($F85="",$G85=""),"",ROUND($F85*$G85,2))</f>
        <v/>
      </c>
      <c r="I85" s="87">
        <f>IF($F85="","",ROUND($F85*(1+IF($G85="",0,$G85)),2))</f>
        <v/>
      </c>
      <c r="J85" s="69" t="n"/>
      <c r="K85" s="88">
        <f>IF($B85="","",MONTH($B85))</f>
        <v/>
      </c>
      <c r="L85" s="2" t="n"/>
      <c r="M85" s="2" t="n"/>
      <c r="N85" s="2" t="n"/>
      <c r="O85" s="2" t="n"/>
      <c r="P85" s="2" t="n"/>
    </row>
    <row r="86">
      <c r="A86" s="2" t="n"/>
      <c r="B86" s="84" t="n"/>
      <c r="C86" s="78" t="n"/>
      <c r="D86" s="78" t="n"/>
      <c r="E86" s="78" t="n"/>
      <c r="F86" s="73" t="n"/>
      <c r="G86" s="77" t="n"/>
      <c r="H86" s="85">
        <f>IF(OR($F86="",$G86=""),"",ROUND($F86*$G86,2))</f>
        <v/>
      </c>
      <c r="I86" s="85">
        <f>IF($F86="","",ROUND($F86*(1+IF($G86="",0,$G86)),2))</f>
        <v/>
      </c>
      <c r="J86" s="69" t="n"/>
      <c r="K86" s="86">
        <f>IF($B86="","",MONTH($B86))</f>
        <v/>
      </c>
      <c r="L86" s="2" t="n"/>
      <c r="M86" s="2" t="n"/>
      <c r="N86" s="2" t="n"/>
      <c r="O86" s="2" t="n"/>
      <c r="P86" s="2" t="n"/>
    </row>
    <row r="87">
      <c r="A87" s="2" t="n"/>
      <c r="B87" s="84" t="n"/>
      <c r="C87" s="78" t="n"/>
      <c r="D87" s="78" t="n"/>
      <c r="E87" s="78" t="n"/>
      <c r="F87" s="73" t="n"/>
      <c r="G87" s="77" t="n"/>
      <c r="H87" s="87">
        <f>IF(OR($F87="",$G87=""),"",ROUND($F87*$G87,2))</f>
        <v/>
      </c>
      <c r="I87" s="87">
        <f>IF($F87="","",ROUND($F87*(1+IF($G87="",0,$G87)),2))</f>
        <v/>
      </c>
      <c r="J87" s="69" t="n"/>
      <c r="K87" s="88">
        <f>IF($B87="","",MONTH($B87))</f>
        <v/>
      </c>
      <c r="L87" s="2" t="n"/>
      <c r="M87" s="2" t="n"/>
      <c r="N87" s="2" t="n"/>
      <c r="O87" s="2" t="n"/>
      <c r="P87" s="2" t="n"/>
    </row>
    <row r="88">
      <c r="A88" s="2" t="n"/>
      <c r="B88" s="84" t="n"/>
      <c r="C88" s="78" t="n"/>
      <c r="D88" s="78" t="n"/>
      <c r="E88" s="78" t="n"/>
      <c r="F88" s="73" t="n"/>
      <c r="G88" s="77" t="n"/>
      <c r="H88" s="85">
        <f>IF(OR($F88="",$G88=""),"",ROUND($F88*$G88,2))</f>
        <v/>
      </c>
      <c r="I88" s="85">
        <f>IF($F88="","",ROUND($F88*(1+IF($G88="",0,$G88)),2))</f>
        <v/>
      </c>
      <c r="J88" s="69" t="n"/>
      <c r="K88" s="86">
        <f>IF($B88="","",MONTH($B88))</f>
        <v/>
      </c>
      <c r="L88" s="2" t="n"/>
      <c r="M88" s="2" t="n"/>
      <c r="N88" s="2" t="n"/>
      <c r="O88" s="2" t="n"/>
      <c r="P88" s="2" t="n"/>
    </row>
    <row r="89">
      <c r="A89" s="2" t="n"/>
      <c r="B89" s="84" t="n"/>
      <c r="C89" s="78" t="n"/>
      <c r="D89" s="78" t="n"/>
      <c r="E89" s="78" t="n"/>
      <c r="F89" s="73" t="n"/>
      <c r="G89" s="77" t="n"/>
      <c r="H89" s="87">
        <f>IF(OR($F89="",$G89=""),"",ROUND($F89*$G89,2))</f>
        <v/>
      </c>
      <c r="I89" s="87">
        <f>IF($F89="","",ROUND($F89*(1+IF($G89="",0,$G89)),2))</f>
        <v/>
      </c>
      <c r="J89" s="69" t="n"/>
      <c r="K89" s="88">
        <f>IF($B89="","",MONTH($B89))</f>
        <v/>
      </c>
      <c r="L89" s="2" t="n"/>
      <c r="M89" s="2" t="n"/>
      <c r="N89" s="2" t="n"/>
      <c r="O89" s="2" t="n"/>
      <c r="P89" s="2" t="n"/>
    </row>
    <row r="90">
      <c r="A90" s="2" t="n"/>
      <c r="B90" s="84" t="n"/>
      <c r="C90" s="78" t="n"/>
      <c r="D90" s="78" t="n"/>
      <c r="E90" s="78" t="n"/>
      <c r="F90" s="73" t="n"/>
      <c r="G90" s="77" t="n"/>
      <c r="H90" s="85">
        <f>IF(OR($F90="",$G90=""),"",ROUND($F90*$G90,2))</f>
        <v/>
      </c>
      <c r="I90" s="85">
        <f>IF($F90="","",ROUND($F90*(1+IF($G90="",0,$G90)),2))</f>
        <v/>
      </c>
      <c r="J90" s="69" t="n"/>
      <c r="K90" s="86">
        <f>IF($B90="","",MONTH($B90))</f>
        <v/>
      </c>
      <c r="L90" s="2" t="n"/>
      <c r="M90" s="2" t="n"/>
      <c r="N90" s="2" t="n"/>
      <c r="O90" s="2" t="n"/>
      <c r="P90" s="2" t="n"/>
    </row>
    <row r="91">
      <c r="A91" s="2" t="n"/>
      <c r="B91" s="84" t="n"/>
      <c r="C91" s="78" t="n"/>
      <c r="D91" s="78" t="n"/>
      <c r="E91" s="78" t="n"/>
      <c r="F91" s="73" t="n"/>
      <c r="G91" s="77" t="n"/>
      <c r="H91" s="87">
        <f>IF(OR($F91="",$G91=""),"",ROUND($F91*$G91,2))</f>
        <v/>
      </c>
      <c r="I91" s="87">
        <f>IF($F91="","",ROUND($F91*(1+IF($G91="",0,$G91)),2))</f>
        <v/>
      </c>
      <c r="J91" s="69" t="n"/>
      <c r="K91" s="88">
        <f>IF($B91="","",MONTH($B91))</f>
        <v/>
      </c>
      <c r="L91" s="2" t="n"/>
      <c r="M91" s="2" t="n"/>
      <c r="N91" s="2" t="n"/>
      <c r="O91" s="2" t="n"/>
      <c r="P91" s="2" t="n"/>
    </row>
    <row r="92">
      <c r="A92" s="2" t="n"/>
      <c r="B92" s="84" t="n"/>
      <c r="C92" s="78" t="n"/>
      <c r="D92" s="78" t="n"/>
      <c r="E92" s="78" t="n"/>
      <c r="F92" s="73" t="n"/>
      <c r="G92" s="77" t="n"/>
      <c r="H92" s="85">
        <f>IF(OR($F92="",$G92=""),"",ROUND($F92*$G92,2))</f>
        <v/>
      </c>
      <c r="I92" s="85">
        <f>IF($F92="","",ROUND($F92*(1+IF($G92="",0,$G92)),2))</f>
        <v/>
      </c>
      <c r="J92" s="69" t="n"/>
      <c r="K92" s="86">
        <f>IF($B92="","",MONTH($B92))</f>
        <v/>
      </c>
      <c r="L92" s="2" t="n"/>
      <c r="M92" s="2" t="n"/>
      <c r="N92" s="2" t="n"/>
      <c r="O92" s="2" t="n"/>
      <c r="P92" s="2" t="n"/>
    </row>
    <row r="93">
      <c r="A93" s="2" t="n"/>
      <c r="B93" s="84" t="n"/>
      <c r="C93" s="78" t="n"/>
      <c r="D93" s="78" t="n"/>
      <c r="E93" s="78" t="n"/>
      <c r="F93" s="73" t="n"/>
      <c r="G93" s="77" t="n"/>
      <c r="H93" s="87">
        <f>IF(OR($F93="",$G93=""),"",ROUND($F93*$G93,2))</f>
        <v/>
      </c>
      <c r="I93" s="87">
        <f>IF($F93="","",ROUND($F93*(1+IF($G93="",0,$G93)),2))</f>
        <v/>
      </c>
      <c r="J93" s="69" t="n"/>
      <c r="K93" s="88">
        <f>IF($B93="","",MONTH($B93))</f>
        <v/>
      </c>
      <c r="L93" s="2" t="n"/>
      <c r="M93" s="2" t="n"/>
      <c r="N93" s="2" t="n"/>
      <c r="O93" s="2" t="n"/>
      <c r="P93" s="2" t="n"/>
    </row>
    <row r="94">
      <c r="A94" s="2" t="n"/>
      <c r="B94" s="84" t="n"/>
      <c r="C94" s="78" t="n"/>
      <c r="D94" s="78" t="n"/>
      <c r="E94" s="78" t="n"/>
      <c r="F94" s="73" t="n"/>
      <c r="G94" s="77" t="n"/>
      <c r="H94" s="85">
        <f>IF(OR($F94="",$G94=""),"",ROUND($F94*$G94,2))</f>
        <v/>
      </c>
      <c r="I94" s="85">
        <f>IF($F94="","",ROUND($F94*(1+IF($G94="",0,$G94)),2))</f>
        <v/>
      </c>
      <c r="J94" s="69" t="n"/>
      <c r="K94" s="86">
        <f>IF($B94="","",MONTH($B94))</f>
        <v/>
      </c>
      <c r="L94" s="2" t="n"/>
      <c r="M94" s="2" t="n"/>
      <c r="N94" s="2" t="n"/>
      <c r="O94" s="2" t="n"/>
      <c r="P94" s="2" t="n"/>
    </row>
    <row r="95">
      <c r="A95" s="2" t="n"/>
      <c r="B95" s="84" t="n"/>
      <c r="C95" s="78" t="n"/>
      <c r="D95" s="78" t="n"/>
      <c r="E95" s="78" t="n"/>
      <c r="F95" s="73" t="n"/>
      <c r="G95" s="77" t="n"/>
      <c r="H95" s="87">
        <f>IF(OR($F95="",$G95=""),"",ROUND($F95*$G95,2))</f>
        <v/>
      </c>
      <c r="I95" s="87">
        <f>IF($F95="","",ROUND($F95*(1+IF($G95="",0,$G95)),2))</f>
        <v/>
      </c>
      <c r="J95" s="69" t="n"/>
      <c r="K95" s="88">
        <f>IF($B95="","",MONTH($B95))</f>
        <v/>
      </c>
      <c r="L95" s="2" t="n"/>
      <c r="M95" s="2" t="n"/>
      <c r="N95" s="2" t="n"/>
      <c r="O95" s="2" t="n"/>
      <c r="P95" s="2" t="n"/>
    </row>
    <row r="96">
      <c r="A96" s="2" t="n"/>
      <c r="B96" s="84" t="n"/>
      <c r="C96" s="78" t="n"/>
      <c r="D96" s="78" t="n"/>
      <c r="E96" s="78" t="n"/>
      <c r="F96" s="73" t="n"/>
      <c r="G96" s="77" t="n"/>
      <c r="H96" s="85">
        <f>IF(OR($F96="",$G96=""),"",ROUND($F96*$G96,2))</f>
        <v/>
      </c>
      <c r="I96" s="85">
        <f>IF($F96="","",ROUND($F96*(1+IF($G96="",0,$G96)),2))</f>
        <v/>
      </c>
      <c r="J96" s="69" t="n"/>
      <c r="K96" s="86">
        <f>IF($B96="","",MONTH($B96))</f>
        <v/>
      </c>
      <c r="L96" s="2" t="n"/>
      <c r="M96" s="2" t="n"/>
      <c r="N96" s="2" t="n"/>
      <c r="O96" s="2" t="n"/>
      <c r="P96" s="2" t="n"/>
    </row>
    <row r="97">
      <c r="A97" s="2" t="n"/>
      <c r="B97" s="84" t="n"/>
      <c r="C97" s="78" t="n"/>
      <c r="D97" s="78" t="n"/>
      <c r="E97" s="78" t="n"/>
      <c r="F97" s="73" t="n"/>
      <c r="G97" s="77" t="n"/>
      <c r="H97" s="87">
        <f>IF(OR($F97="",$G97=""),"",ROUND($F97*$G97,2))</f>
        <v/>
      </c>
      <c r="I97" s="87">
        <f>IF($F97="","",ROUND($F97*(1+IF($G97="",0,$G97)),2))</f>
        <v/>
      </c>
      <c r="J97" s="69" t="n"/>
      <c r="K97" s="88">
        <f>IF($B97="","",MONTH($B97))</f>
        <v/>
      </c>
      <c r="L97" s="2" t="n"/>
      <c r="M97" s="2" t="n"/>
      <c r="N97" s="2" t="n"/>
      <c r="O97" s="2" t="n"/>
      <c r="P97" s="2" t="n"/>
    </row>
    <row r="98">
      <c r="A98" s="2" t="n"/>
      <c r="B98" s="84" t="n"/>
      <c r="C98" s="78" t="n"/>
      <c r="D98" s="78" t="n"/>
      <c r="E98" s="78" t="n"/>
      <c r="F98" s="73" t="n"/>
      <c r="G98" s="77" t="n"/>
      <c r="H98" s="85">
        <f>IF(OR($F98="",$G98=""),"",ROUND($F98*$G98,2))</f>
        <v/>
      </c>
      <c r="I98" s="85">
        <f>IF($F98="","",ROUND($F98*(1+IF($G98="",0,$G98)),2))</f>
        <v/>
      </c>
      <c r="J98" s="69" t="n"/>
      <c r="K98" s="86">
        <f>IF($B98="","",MONTH($B98))</f>
        <v/>
      </c>
      <c r="L98" s="2" t="n"/>
      <c r="M98" s="2" t="n"/>
      <c r="N98" s="2" t="n"/>
      <c r="O98" s="2" t="n"/>
      <c r="P98" s="2" t="n"/>
    </row>
    <row r="99">
      <c r="A99" s="2" t="n"/>
      <c r="B99" s="84" t="n"/>
      <c r="C99" s="78" t="n"/>
      <c r="D99" s="78" t="n"/>
      <c r="E99" s="78" t="n"/>
      <c r="F99" s="73" t="n"/>
      <c r="G99" s="77" t="n"/>
      <c r="H99" s="87">
        <f>IF(OR($F99="",$G99=""),"",ROUND($F99*$G99,2))</f>
        <v/>
      </c>
      <c r="I99" s="87">
        <f>IF($F99="","",ROUND($F99*(1+IF($G99="",0,$G99)),2))</f>
        <v/>
      </c>
      <c r="J99" s="69" t="n"/>
      <c r="K99" s="88">
        <f>IF($B99="","",MONTH($B99))</f>
        <v/>
      </c>
      <c r="L99" s="2" t="n"/>
      <c r="M99" s="2" t="n"/>
      <c r="N99" s="2" t="n"/>
      <c r="O99" s="2" t="n"/>
      <c r="P99" s="2" t="n"/>
    </row>
    <row r="100">
      <c r="A100" s="2" t="n"/>
      <c r="B100" s="84" t="n"/>
      <c r="C100" s="78" t="n"/>
      <c r="D100" s="78" t="n"/>
      <c r="E100" s="78" t="n"/>
      <c r="F100" s="73" t="n"/>
      <c r="G100" s="77" t="n"/>
      <c r="H100" s="85">
        <f>IF(OR($F100="",$G100=""),"",ROUND($F100*$G100,2))</f>
        <v/>
      </c>
      <c r="I100" s="85">
        <f>IF($F100="","",ROUND($F100*(1+IF($G100="",0,$G100)),2))</f>
        <v/>
      </c>
      <c r="J100" s="69" t="n"/>
      <c r="K100" s="86">
        <f>IF($B100="","",MONTH($B100))</f>
        <v/>
      </c>
      <c r="L100" s="2" t="n"/>
      <c r="M100" s="2" t="n"/>
      <c r="N100" s="2" t="n"/>
      <c r="O100" s="2" t="n"/>
      <c r="P100" s="2" t="n"/>
    </row>
    <row r="101">
      <c r="A101" s="2" t="n"/>
      <c r="B101" s="84" t="n"/>
      <c r="C101" s="78" t="n"/>
      <c r="D101" s="78" t="n"/>
      <c r="E101" s="78" t="n"/>
      <c r="F101" s="73" t="n"/>
      <c r="G101" s="77" t="n"/>
      <c r="H101" s="87">
        <f>IF(OR($F101="",$G101=""),"",ROUND($F101*$G101,2))</f>
        <v/>
      </c>
      <c r="I101" s="87">
        <f>IF($F101="","",ROUND($F101*(1+IF($G101="",0,$G101)),2))</f>
        <v/>
      </c>
      <c r="J101" s="69" t="n"/>
      <c r="K101" s="88">
        <f>IF($B101="","",MONTH($B101))</f>
        <v/>
      </c>
      <c r="L101" s="2" t="n"/>
      <c r="M101" s="2" t="n"/>
      <c r="N101" s="2" t="n"/>
      <c r="O101" s="2" t="n"/>
      <c r="P101" s="2" t="n"/>
    </row>
    <row r="102">
      <c r="A102" s="2" t="n"/>
      <c r="B102" s="84" t="n"/>
      <c r="C102" s="78" t="n"/>
      <c r="D102" s="78" t="n"/>
      <c r="E102" s="78" t="n"/>
      <c r="F102" s="73" t="n"/>
      <c r="G102" s="77" t="n"/>
      <c r="H102" s="85">
        <f>IF(OR($F102="",$G102=""),"",ROUND($F102*$G102,2))</f>
        <v/>
      </c>
      <c r="I102" s="85">
        <f>IF($F102="","",ROUND($F102*(1+IF($G102="",0,$G102)),2))</f>
        <v/>
      </c>
      <c r="J102" s="69" t="n"/>
      <c r="K102" s="86">
        <f>IF($B102="","",MONTH($B102))</f>
        <v/>
      </c>
      <c r="L102" s="2" t="n"/>
      <c r="M102" s="2" t="n"/>
      <c r="N102" s="2" t="n"/>
      <c r="O102" s="2" t="n"/>
      <c r="P102" s="2" t="n"/>
    </row>
    <row r="103">
      <c r="A103" s="2" t="n"/>
      <c r="B103" s="84" t="n"/>
      <c r="C103" s="78" t="n"/>
      <c r="D103" s="78" t="n"/>
      <c r="E103" s="78" t="n"/>
      <c r="F103" s="73" t="n"/>
      <c r="G103" s="77" t="n"/>
      <c r="H103" s="87">
        <f>IF(OR($F103="",$G103=""),"",ROUND($F103*$G103,2))</f>
        <v/>
      </c>
      <c r="I103" s="87">
        <f>IF($F103="","",ROUND($F103*(1+IF($G103="",0,$G103)),2))</f>
        <v/>
      </c>
      <c r="J103" s="69" t="n"/>
      <c r="K103" s="88">
        <f>IF($B103="","",MONTH($B103))</f>
        <v/>
      </c>
      <c r="L103" s="2" t="n"/>
      <c r="M103" s="2" t="n"/>
      <c r="N103" s="2" t="n"/>
      <c r="O103" s="2" t="n"/>
      <c r="P103" s="2" t="n"/>
    </row>
    <row r="104">
      <c r="A104" s="2" t="n"/>
      <c r="B104" s="84" t="n"/>
      <c r="C104" s="78" t="n"/>
      <c r="D104" s="78" t="n"/>
      <c r="E104" s="78" t="n"/>
      <c r="F104" s="73" t="n"/>
      <c r="G104" s="77" t="n"/>
      <c r="H104" s="85">
        <f>IF(OR($F104="",$G104=""),"",ROUND($F104*$G104,2))</f>
        <v/>
      </c>
      <c r="I104" s="85">
        <f>IF($F104="","",ROUND($F104*(1+IF($G104="",0,$G104)),2))</f>
        <v/>
      </c>
      <c r="J104" s="69" t="n"/>
      <c r="K104" s="86">
        <f>IF($B104="","",MONTH($B104))</f>
        <v/>
      </c>
      <c r="L104" s="2" t="n"/>
      <c r="M104" s="2" t="n"/>
      <c r="N104" s="2" t="n"/>
      <c r="O104" s="2" t="n"/>
      <c r="P104" s="2" t="n"/>
    </row>
    <row r="105">
      <c r="A105" s="2" t="n"/>
      <c r="B105" s="84" t="n"/>
      <c r="C105" s="78" t="n"/>
      <c r="D105" s="78" t="n"/>
      <c r="E105" s="78" t="n"/>
      <c r="F105" s="73" t="n"/>
      <c r="G105" s="77" t="n"/>
      <c r="H105" s="87">
        <f>IF(OR($F105="",$G105=""),"",ROUND($F105*$G105,2))</f>
        <v/>
      </c>
      <c r="I105" s="87">
        <f>IF($F105="","",ROUND($F105*(1+IF($G105="",0,$G105)),2))</f>
        <v/>
      </c>
      <c r="J105" s="69" t="n"/>
      <c r="K105" s="88">
        <f>IF($B105="","",MONTH($B105))</f>
        <v/>
      </c>
      <c r="L105" s="2" t="n"/>
      <c r="M105" s="2" t="n"/>
      <c r="N105" s="2" t="n"/>
      <c r="O105" s="2" t="n"/>
      <c r="P105" s="2" t="n"/>
    </row>
    <row r="106">
      <c r="A106" s="2" t="n"/>
      <c r="B106" s="84" t="n"/>
      <c r="C106" s="78" t="n"/>
      <c r="D106" s="78" t="n"/>
      <c r="E106" s="78" t="n"/>
      <c r="F106" s="73" t="n"/>
      <c r="G106" s="77" t="n"/>
      <c r="H106" s="85">
        <f>IF(OR($F106="",$G106=""),"",ROUND($F106*$G106,2))</f>
        <v/>
      </c>
      <c r="I106" s="85">
        <f>IF($F106="","",ROUND($F106*(1+IF($G106="",0,$G106)),2))</f>
        <v/>
      </c>
      <c r="J106" s="69" t="n"/>
      <c r="K106" s="86">
        <f>IF($B106="","",MONTH($B106))</f>
        <v/>
      </c>
      <c r="L106" s="2" t="n"/>
      <c r="M106" s="2" t="n"/>
      <c r="N106" s="2" t="n"/>
      <c r="O106" s="2" t="n"/>
      <c r="P106" s="2" t="n"/>
    </row>
    <row r="107">
      <c r="A107" s="2" t="n"/>
      <c r="B107" s="84" t="n"/>
      <c r="C107" s="78" t="n"/>
      <c r="D107" s="78" t="n"/>
      <c r="E107" s="78" t="n"/>
      <c r="F107" s="73" t="n"/>
      <c r="G107" s="77" t="n"/>
      <c r="H107" s="87">
        <f>IF(OR($F107="",$G107=""),"",ROUND($F107*$G107,2))</f>
        <v/>
      </c>
      <c r="I107" s="87">
        <f>IF($F107="","",ROUND($F107*(1+IF($G107="",0,$G107)),2))</f>
        <v/>
      </c>
      <c r="J107" s="69" t="n"/>
      <c r="K107" s="88">
        <f>IF($B107="","",MONTH($B107))</f>
        <v/>
      </c>
      <c r="L107" s="2" t="n"/>
      <c r="M107" s="2" t="n"/>
      <c r="N107" s="2" t="n"/>
      <c r="O107" s="2" t="n"/>
      <c r="P107" s="2" t="n"/>
    </row>
    <row r="108">
      <c r="A108" s="2" t="n"/>
      <c r="B108" s="84" t="n"/>
      <c r="C108" s="78" t="n"/>
      <c r="D108" s="78" t="n"/>
      <c r="E108" s="78" t="n"/>
      <c r="F108" s="73" t="n"/>
      <c r="G108" s="77" t="n"/>
      <c r="H108" s="85">
        <f>IF(OR($F108="",$G108=""),"",ROUND($F108*$G108,2))</f>
        <v/>
      </c>
      <c r="I108" s="85">
        <f>IF($F108="","",ROUND($F108*(1+IF($G108="",0,$G108)),2))</f>
        <v/>
      </c>
      <c r="J108" s="69" t="n"/>
      <c r="K108" s="86">
        <f>IF($B108="","",MONTH($B108))</f>
        <v/>
      </c>
      <c r="L108" s="2" t="n"/>
      <c r="M108" s="2" t="n"/>
      <c r="N108" s="2" t="n"/>
      <c r="O108" s="2" t="n"/>
      <c r="P108" s="2" t="n"/>
    </row>
    <row r="109">
      <c r="A109" s="2" t="n"/>
      <c r="B109" s="84" t="n"/>
      <c r="C109" s="78" t="n"/>
      <c r="D109" s="78" t="n"/>
      <c r="E109" s="78" t="n"/>
      <c r="F109" s="73" t="n"/>
      <c r="G109" s="77" t="n"/>
      <c r="H109" s="87">
        <f>IF(OR($F109="",$G109=""),"",ROUND($F109*$G109,2))</f>
        <v/>
      </c>
      <c r="I109" s="87">
        <f>IF($F109="","",ROUND($F109*(1+IF($G109="",0,$G109)),2))</f>
        <v/>
      </c>
      <c r="J109" s="69" t="n"/>
      <c r="K109" s="88">
        <f>IF($B109="","",MONTH($B109))</f>
        <v/>
      </c>
      <c r="L109" s="2" t="n"/>
      <c r="M109" s="2" t="n"/>
      <c r="N109" s="2" t="n"/>
      <c r="O109" s="2" t="n"/>
      <c r="P109" s="2" t="n"/>
    </row>
    <row r="110">
      <c r="A110" s="2" t="n"/>
      <c r="B110" s="84" t="n"/>
      <c r="C110" s="78" t="n"/>
      <c r="D110" s="78" t="n"/>
      <c r="E110" s="78" t="n"/>
      <c r="F110" s="73" t="n"/>
      <c r="G110" s="77" t="n"/>
      <c r="H110" s="85">
        <f>IF(OR($F110="",$G110=""),"",ROUND($F110*$G110,2))</f>
        <v/>
      </c>
      <c r="I110" s="85">
        <f>IF($F110="","",ROUND($F110*(1+IF($G110="",0,$G110)),2))</f>
        <v/>
      </c>
      <c r="J110" s="69" t="n"/>
      <c r="K110" s="86">
        <f>IF($B110="","",MONTH($B110))</f>
        <v/>
      </c>
      <c r="L110" s="2" t="n"/>
      <c r="M110" s="2" t="n"/>
      <c r="N110" s="2" t="n"/>
      <c r="O110" s="2" t="n"/>
      <c r="P110" s="2" t="n"/>
    </row>
    <row r="111">
      <c r="A111" s="2" t="n"/>
      <c r="B111" s="84" t="n"/>
      <c r="C111" s="78" t="n"/>
      <c r="D111" s="78" t="n"/>
      <c r="E111" s="78" t="n"/>
      <c r="F111" s="73" t="n"/>
      <c r="G111" s="77" t="n"/>
      <c r="H111" s="87">
        <f>IF(OR($F111="",$G111=""),"",ROUND($F111*$G111,2))</f>
        <v/>
      </c>
      <c r="I111" s="87">
        <f>IF($F111="","",ROUND($F111*(1+IF($G111="",0,$G111)),2))</f>
        <v/>
      </c>
      <c r="J111" s="69" t="n"/>
      <c r="K111" s="88">
        <f>IF($B111="","",MONTH($B111))</f>
        <v/>
      </c>
      <c r="L111" s="2" t="n"/>
      <c r="M111" s="2" t="n"/>
      <c r="N111" s="2" t="n"/>
      <c r="O111" s="2" t="n"/>
      <c r="P111" s="2" t="n"/>
    </row>
    <row r="112">
      <c r="A112" s="2" t="n"/>
      <c r="B112" s="84" t="n"/>
      <c r="C112" s="78" t="n"/>
      <c r="D112" s="78" t="n"/>
      <c r="E112" s="78" t="n"/>
      <c r="F112" s="73" t="n"/>
      <c r="G112" s="77" t="n"/>
      <c r="H112" s="85">
        <f>IF(OR($F112="",$G112=""),"",ROUND($F112*$G112,2))</f>
        <v/>
      </c>
      <c r="I112" s="85">
        <f>IF($F112="","",ROUND($F112*(1+IF($G112="",0,$G112)),2))</f>
        <v/>
      </c>
      <c r="J112" s="69" t="n"/>
      <c r="K112" s="86">
        <f>IF($B112="","",MONTH($B112))</f>
        <v/>
      </c>
      <c r="L112" s="2" t="n"/>
      <c r="M112" s="2" t="n"/>
      <c r="N112" s="2" t="n"/>
      <c r="O112" s="2" t="n"/>
      <c r="P112" s="2" t="n"/>
    </row>
    <row r="113">
      <c r="A113" s="2" t="n"/>
      <c r="B113" s="84" t="n"/>
      <c r="C113" s="78" t="n"/>
      <c r="D113" s="78" t="n"/>
      <c r="E113" s="78" t="n"/>
      <c r="F113" s="73" t="n"/>
      <c r="G113" s="77" t="n"/>
      <c r="H113" s="87">
        <f>IF(OR($F113="",$G113=""),"",ROUND($F113*$G113,2))</f>
        <v/>
      </c>
      <c r="I113" s="87">
        <f>IF($F113="","",ROUND($F113*(1+IF($G113="",0,$G113)),2))</f>
        <v/>
      </c>
      <c r="J113" s="69" t="n"/>
      <c r="K113" s="88">
        <f>IF($B113="","",MONTH($B113))</f>
        <v/>
      </c>
      <c r="L113" s="2" t="n"/>
      <c r="M113" s="2" t="n"/>
      <c r="N113" s="2" t="n"/>
      <c r="O113" s="2" t="n"/>
      <c r="P113" s="2" t="n"/>
    </row>
    <row r="114">
      <c r="A114" s="2" t="n"/>
      <c r="B114" s="84" t="n"/>
      <c r="C114" s="78" t="n"/>
      <c r="D114" s="78" t="n"/>
      <c r="E114" s="78" t="n"/>
      <c r="F114" s="73" t="n"/>
      <c r="G114" s="77" t="n"/>
      <c r="H114" s="85">
        <f>IF(OR($F114="",$G114=""),"",ROUND($F114*$G114,2))</f>
        <v/>
      </c>
      <c r="I114" s="85">
        <f>IF($F114="","",ROUND($F114*(1+IF($G114="",0,$G114)),2))</f>
        <v/>
      </c>
      <c r="J114" s="69" t="n"/>
      <c r="K114" s="86">
        <f>IF($B114="","",MONTH($B114))</f>
        <v/>
      </c>
      <c r="L114" s="2" t="n"/>
      <c r="M114" s="2" t="n"/>
      <c r="N114" s="2" t="n"/>
      <c r="O114" s="2" t="n"/>
      <c r="P114" s="2" t="n"/>
    </row>
    <row r="115">
      <c r="A115" s="2" t="n"/>
      <c r="B115" s="84" t="n"/>
      <c r="C115" s="78" t="n"/>
      <c r="D115" s="78" t="n"/>
      <c r="E115" s="78" t="n"/>
      <c r="F115" s="73" t="n"/>
      <c r="G115" s="77" t="n"/>
      <c r="H115" s="87">
        <f>IF(OR($F115="",$G115=""),"",ROUND($F115*$G115,2))</f>
        <v/>
      </c>
      <c r="I115" s="87">
        <f>IF($F115="","",ROUND($F115*(1+IF($G115="",0,$G115)),2))</f>
        <v/>
      </c>
      <c r="J115" s="69" t="n"/>
      <c r="K115" s="88">
        <f>IF($B115="","",MONTH($B115))</f>
        <v/>
      </c>
      <c r="L115" s="2" t="n"/>
      <c r="M115" s="2" t="n"/>
      <c r="N115" s="2" t="n"/>
      <c r="O115" s="2" t="n"/>
      <c r="P115" s="2" t="n"/>
    </row>
    <row r="116">
      <c r="A116" s="2" t="n"/>
      <c r="B116" s="84" t="n"/>
      <c r="C116" s="78" t="n"/>
      <c r="D116" s="78" t="n"/>
      <c r="E116" s="78" t="n"/>
      <c r="F116" s="73" t="n"/>
      <c r="G116" s="77" t="n"/>
      <c r="H116" s="85">
        <f>IF(OR($F116="",$G116=""),"",ROUND($F116*$G116,2))</f>
        <v/>
      </c>
      <c r="I116" s="85">
        <f>IF($F116="","",ROUND($F116*(1+IF($G116="",0,$G116)),2))</f>
        <v/>
      </c>
      <c r="J116" s="69" t="n"/>
      <c r="K116" s="86">
        <f>IF($B116="","",MONTH($B116))</f>
        <v/>
      </c>
      <c r="L116" s="2" t="n"/>
      <c r="M116" s="2" t="n"/>
      <c r="N116" s="2" t="n"/>
      <c r="O116" s="2" t="n"/>
      <c r="P116" s="2" t="n"/>
    </row>
    <row r="117">
      <c r="A117" s="2" t="n"/>
      <c r="B117" s="84" t="n"/>
      <c r="C117" s="78" t="n"/>
      <c r="D117" s="78" t="n"/>
      <c r="E117" s="78" t="n"/>
      <c r="F117" s="73" t="n"/>
      <c r="G117" s="77" t="n"/>
      <c r="H117" s="87">
        <f>IF(OR($F117="",$G117=""),"",ROUND($F117*$G117,2))</f>
        <v/>
      </c>
      <c r="I117" s="87">
        <f>IF($F117="","",ROUND($F117*(1+IF($G117="",0,$G117)),2))</f>
        <v/>
      </c>
      <c r="J117" s="69" t="n"/>
      <c r="K117" s="88">
        <f>IF($B117="","",MONTH($B117))</f>
        <v/>
      </c>
      <c r="L117" s="2" t="n"/>
      <c r="M117" s="2" t="n"/>
      <c r="N117" s="2" t="n"/>
      <c r="O117" s="2" t="n"/>
      <c r="P117" s="2" t="n"/>
    </row>
    <row r="118">
      <c r="A118" s="2" t="n"/>
      <c r="B118" s="84" t="n"/>
      <c r="C118" s="78" t="n"/>
      <c r="D118" s="78" t="n"/>
      <c r="E118" s="78" t="n"/>
      <c r="F118" s="73" t="n"/>
      <c r="G118" s="77" t="n"/>
      <c r="H118" s="85">
        <f>IF(OR($F118="",$G118=""),"",ROUND($F118*$G118,2))</f>
        <v/>
      </c>
      <c r="I118" s="85">
        <f>IF($F118="","",ROUND($F118*(1+IF($G118="",0,$G118)),2))</f>
        <v/>
      </c>
      <c r="J118" s="69" t="n"/>
      <c r="K118" s="86">
        <f>IF($B118="","",MONTH($B118))</f>
        <v/>
      </c>
      <c r="L118" s="2" t="n"/>
      <c r="M118" s="2" t="n"/>
      <c r="N118" s="2" t="n"/>
      <c r="O118" s="2" t="n"/>
      <c r="P118" s="2" t="n"/>
    </row>
    <row r="119">
      <c r="A119" s="2" t="n"/>
      <c r="B119" s="84" t="n"/>
      <c r="C119" s="78" t="n"/>
      <c r="D119" s="78" t="n"/>
      <c r="E119" s="78" t="n"/>
      <c r="F119" s="73" t="n"/>
      <c r="G119" s="77" t="n"/>
      <c r="H119" s="87">
        <f>IF(OR($F119="",$G119=""),"",ROUND($F119*$G119,2))</f>
        <v/>
      </c>
      <c r="I119" s="87">
        <f>IF($F119="","",ROUND($F119*(1+IF($G119="",0,$G119)),2))</f>
        <v/>
      </c>
      <c r="J119" s="69" t="n"/>
      <c r="K119" s="88">
        <f>IF($B119="","",MONTH($B119))</f>
        <v/>
      </c>
      <c r="L119" s="2" t="n"/>
      <c r="M119" s="2" t="n"/>
      <c r="N119" s="2" t="n"/>
      <c r="O119" s="2" t="n"/>
      <c r="P119" s="2" t="n"/>
    </row>
    <row r="120">
      <c r="A120" s="2" t="n"/>
      <c r="B120" s="84" t="n"/>
      <c r="C120" s="78" t="n"/>
      <c r="D120" s="78" t="n"/>
      <c r="E120" s="78" t="n"/>
      <c r="F120" s="73" t="n"/>
      <c r="G120" s="77" t="n"/>
      <c r="H120" s="85">
        <f>IF(OR($F120="",$G120=""),"",ROUND($F120*$G120,2))</f>
        <v/>
      </c>
      <c r="I120" s="85">
        <f>IF($F120="","",ROUND($F120*(1+IF($G120="",0,$G120)),2))</f>
        <v/>
      </c>
      <c r="J120" s="69" t="n"/>
      <c r="K120" s="86">
        <f>IF($B120="","",MONTH($B120))</f>
        <v/>
      </c>
      <c r="L120" s="2" t="n"/>
      <c r="M120" s="2" t="n"/>
      <c r="N120" s="2" t="n"/>
      <c r="O120" s="2" t="n"/>
      <c r="P120" s="2" t="n"/>
    </row>
    <row r="121">
      <c r="A121" s="2" t="n"/>
      <c r="B121" s="84" t="n"/>
      <c r="C121" s="78" t="n"/>
      <c r="D121" s="78" t="n"/>
      <c r="E121" s="78" t="n"/>
      <c r="F121" s="73" t="n"/>
      <c r="G121" s="77" t="n"/>
      <c r="H121" s="87">
        <f>IF(OR($F121="",$G121=""),"",ROUND($F121*$G121,2))</f>
        <v/>
      </c>
      <c r="I121" s="87">
        <f>IF($F121="","",ROUND($F121*(1+IF($G121="",0,$G121)),2))</f>
        <v/>
      </c>
      <c r="J121" s="69" t="n"/>
      <c r="K121" s="88">
        <f>IF($B121="","",MONTH($B121))</f>
        <v/>
      </c>
      <c r="L121" s="2" t="n"/>
      <c r="M121" s="2" t="n"/>
      <c r="N121" s="2" t="n"/>
      <c r="O121" s="2" t="n"/>
      <c r="P121" s="2" t="n"/>
    </row>
    <row r="122">
      <c r="A122" s="2" t="n"/>
      <c r="B122" s="84" t="n"/>
      <c r="C122" s="78" t="n"/>
      <c r="D122" s="78" t="n"/>
      <c r="E122" s="78" t="n"/>
      <c r="F122" s="73" t="n"/>
      <c r="G122" s="77" t="n"/>
      <c r="H122" s="85">
        <f>IF(OR($F122="",$G122=""),"",ROUND($F122*$G122,2))</f>
        <v/>
      </c>
      <c r="I122" s="85">
        <f>IF($F122="","",ROUND($F122*(1+IF($G122="",0,$G122)),2))</f>
        <v/>
      </c>
      <c r="J122" s="69" t="n"/>
      <c r="K122" s="86">
        <f>IF($B122="","",MONTH($B122))</f>
        <v/>
      </c>
      <c r="L122" s="2" t="n"/>
      <c r="M122" s="2" t="n"/>
      <c r="N122" s="2" t="n"/>
      <c r="O122" s="2" t="n"/>
      <c r="P122" s="2" t="n"/>
    </row>
    <row r="123">
      <c r="A123" s="2" t="n"/>
      <c r="B123" s="84" t="n"/>
      <c r="C123" s="78" t="n"/>
      <c r="D123" s="78" t="n"/>
      <c r="E123" s="78" t="n"/>
      <c r="F123" s="73" t="n"/>
      <c r="G123" s="77" t="n"/>
      <c r="H123" s="87">
        <f>IF(OR($F123="",$G123=""),"",ROUND($F123*$G123,2))</f>
        <v/>
      </c>
      <c r="I123" s="87">
        <f>IF($F123="","",ROUND($F123*(1+IF($G123="",0,$G123)),2))</f>
        <v/>
      </c>
      <c r="J123" s="69" t="n"/>
      <c r="K123" s="88">
        <f>IF($B123="","",MONTH($B123))</f>
        <v/>
      </c>
      <c r="L123" s="2" t="n"/>
      <c r="M123" s="2" t="n"/>
      <c r="N123" s="2" t="n"/>
      <c r="O123" s="2" t="n"/>
      <c r="P123" s="2" t="n"/>
    </row>
    <row r="124">
      <c r="A124" s="2" t="n"/>
      <c r="B124" s="84" t="n"/>
      <c r="C124" s="78" t="n"/>
      <c r="D124" s="78" t="n"/>
      <c r="E124" s="78" t="n"/>
      <c r="F124" s="73" t="n"/>
      <c r="G124" s="77" t="n"/>
      <c r="H124" s="85">
        <f>IF(OR($F124="",$G124=""),"",ROUND($F124*$G124,2))</f>
        <v/>
      </c>
      <c r="I124" s="85">
        <f>IF($F124="","",ROUND($F124*(1+IF($G124="",0,$G124)),2))</f>
        <v/>
      </c>
      <c r="J124" s="69" t="n"/>
      <c r="K124" s="86">
        <f>IF($B124="","",MONTH($B124))</f>
        <v/>
      </c>
      <c r="L124" s="2" t="n"/>
      <c r="M124" s="2" t="n"/>
      <c r="N124" s="2" t="n"/>
      <c r="O124" s="2" t="n"/>
      <c r="P124" s="2" t="n"/>
    </row>
    <row r="125">
      <c r="A125" s="2" t="n"/>
      <c r="B125" s="84" t="n"/>
      <c r="C125" s="78" t="n"/>
      <c r="D125" s="78" t="n"/>
      <c r="E125" s="78" t="n"/>
      <c r="F125" s="73" t="n"/>
      <c r="G125" s="77" t="n"/>
      <c r="H125" s="87">
        <f>IF(OR($F125="",$G125=""),"",ROUND($F125*$G125,2))</f>
        <v/>
      </c>
      <c r="I125" s="87">
        <f>IF($F125="","",ROUND($F125*(1+IF($G125="",0,$G125)),2))</f>
        <v/>
      </c>
      <c r="J125" s="69" t="n"/>
      <c r="K125" s="88">
        <f>IF($B125="","",MONTH($B125))</f>
        <v/>
      </c>
      <c r="L125" s="2" t="n"/>
      <c r="M125" s="2" t="n"/>
      <c r="N125" s="2" t="n"/>
      <c r="O125" s="2" t="n"/>
      <c r="P125" s="2" t="n"/>
    </row>
    <row r="126">
      <c r="A126" s="2" t="n"/>
      <c r="B126" s="84" t="n"/>
      <c r="C126" s="78" t="n"/>
      <c r="D126" s="78" t="n"/>
      <c r="E126" s="78" t="n"/>
      <c r="F126" s="73" t="n"/>
      <c r="G126" s="77" t="n"/>
      <c r="H126" s="85">
        <f>IF(OR($F126="",$G126=""),"",ROUND($F126*$G126,2))</f>
        <v/>
      </c>
      <c r="I126" s="85">
        <f>IF($F126="","",ROUND($F126*(1+IF($G126="",0,$G126)),2))</f>
        <v/>
      </c>
      <c r="J126" s="69" t="n"/>
      <c r="K126" s="86">
        <f>IF($B126="","",MONTH($B126))</f>
        <v/>
      </c>
      <c r="L126" s="2" t="n"/>
      <c r="M126" s="2" t="n"/>
      <c r="N126" s="2" t="n"/>
      <c r="O126" s="2" t="n"/>
      <c r="P126" s="2" t="n"/>
    </row>
    <row r="127">
      <c r="A127" s="2" t="n"/>
      <c r="B127" s="84" t="n"/>
      <c r="C127" s="78" t="n"/>
      <c r="D127" s="78" t="n"/>
      <c r="E127" s="78" t="n"/>
      <c r="F127" s="73" t="n"/>
      <c r="G127" s="77" t="n"/>
      <c r="H127" s="87">
        <f>IF(OR($F127="",$G127=""),"",ROUND($F127*$G127,2))</f>
        <v/>
      </c>
      <c r="I127" s="87">
        <f>IF($F127="","",ROUND($F127*(1+IF($G127="",0,$G127)),2))</f>
        <v/>
      </c>
      <c r="J127" s="69" t="n"/>
      <c r="K127" s="88">
        <f>IF($B127="","",MONTH($B127))</f>
        <v/>
      </c>
      <c r="L127" s="2" t="n"/>
      <c r="M127" s="2" t="n"/>
      <c r="N127" s="2" t="n"/>
      <c r="O127" s="2" t="n"/>
      <c r="P127" s="2" t="n"/>
    </row>
    <row r="128">
      <c r="A128" s="2" t="n"/>
      <c r="B128" s="84" t="n"/>
      <c r="C128" s="78" t="n"/>
      <c r="D128" s="78" t="n"/>
      <c r="E128" s="78" t="n"/>
      <c r="F128" s="73" t="n"/>
      <c r="G128" s="77" t="n"/>
      <c r="H128" s="85">
        <f>IF(OR($F128="",$G128=""),"",ROUND($F128*$G128,2))</f>
        <v/>
      </c>
      <c r="I128" s="85">
        <f>IF($F128="","",ROUND($F128*(1+IF($G128="",0,$G128)),2))</f>
        <v/>
      </c>
      <c r="J128" s="69" t="n"/>
      <c r="K128" s="86">
        <f>IF($B128="","",MONTH($B128))</f>
        <v/>
      </c>
      <c r="L128" s="2" t="n"/>
      <c r="M128" s="2" t="n"/>
      <c r="N128" s="2" t="n"/>
      <c r="O128" s="2" t="n"/>
      <c r="P128" s="2" t="n"/>
    </row>
    <row r="129">
      <c r="A129" s="2" t="n"/>
      <c r="B129" s="84" t="n"/>
      <c r="C129" s="78" t="n"/>
      <c r="D129" s="78" t="n"/>
      <c r="E129" s="78" t="n"/>
      <c r="F129" s="73" t="n"/>
      <c r="G129" s="77" t="n"/>
      <c r="H129" s="87">
        <f>IF(OR($F129="",$G129=""),"",ROUND($F129*$G129,2))</f>
        <v/>
      </c>
      <c r="I129" s="87">
        <f>IF($F129="","",ROUND($F129*(1+IF($G129="",0,$G129)),2))</f>
        <v/>
      </c>
      <c r="J129" s="69" t="n"/>
      <c r="K129" s="88">
        <f>IF($B129="","",MONTH($B129))</f>
        <v/>
      </c>
      <c r="L129" s="2" t="n"/>
      <c r="M129" s="2" t="n"/>
      <c r="N129" s="2" t="n"/>
      <c r="O129" s="2" t="n"/>
      <c r="P129" s="2" t="n"/>
    </row>
    <row r="130">
      <c r="A130" s="2" t="n"/>
      <c r="B130" s="84" t="n"/>
      <c r="C130" s="78" t="n"/>
      <c r="D130" s="78" t="n"/>
      <c r="E130" s="78" t="n"/>
      <c r="F130" s="73" t="n"/>
      <c r="G130" s="77" t="n"/>
      <c r="H130" s="85">
        <f>IF(OR($F130="",$G130=""),"",ROUND($F130*$G130,2))</f>
        <v/>
      </c>
      <c r="I130" s="85">
        <f>IF($F130="","",ROUND($F130*(1+IF($G130="",0,$G130)),2))</f>
        <v/>
      </c>
      <c r="J130" s="69" t="n"/>
      <c r="K130" s="86">
        <f>IF($B130="","",MONTH($B130))</f>
        <v/>
      </c>
      <c r="L130" s="2" t="n"/>
      <c r="M130" s="2" t="n"/>
      <c r="N130" s="2" t="n"/>
      <c r="O130" s="2" t="n"/>
      <c r="P130" s="2" t="n"/>
    </row>
    <row r="131">
      <c r="A131" s="2" t="n"/>
      <c r="B131" s="84" t="n"/>
      <c r="C131" s="78" t="n"/>
      <c r="D131" s="78" t="n"/>
      <c r="E131" s="78" t="n"/>
      <c r="F131" s="73" t="n"/>
      <c r="G131" s="77" t="n"/>
      <c r="H131" s="87">
        <f>IF(OR($F131="",$G131=""),"",ROUND($F131*$G131,2))</f>
        <v/>
      </c>
      <c r="I131" s="87">
        <f>IF($F131="","",ROUND($F131*(1+IF($G131="",0,$G131)),2))</f>
        <v/>
      </c>
      <c r="J131" s="69" t="n"/>
      <c r="K131" s="88">
        <f>IF($B131="","",MONTH($B131))</f>
        <v/>
      </c>
      <c r="L131" s="2" t="n"/>
      <c r="M131" s="2" t="n"/>
      <c r="N131" s="2" t="n"/>
      <c r="O131" s="2" t="n"/>
      <c r="P131" s="2" t="n"/>
    </row>
    <row r="132">
      <c r="A132" s="2" t="n"/>
      <c r="B132" s="84" t="n"/>
      <c r="C132" s="78" t="n"/>
      <c r="D132" s="78" t="n"/>
      <c r="E132" s="78" t="n"/>
      <c r="F132" s="73" t="n"/>
      <c r="G132" s="77" t="n"/>
      <c r="H132" s="85">
        <f>IF(OR($F132="",$G132=""),"",ROUND($F132*$G132,2))</f>
        <v/>
      </c>
      <c r="I132" s="85">
        <f>IF($F132="","",ROUND($F132*(1+IF($G132="",0,$G132)),2))</f>
        <v/>
      </c>
      <c r="J132" s="69" t="n"/>
      <c r="K132" s="86">
        <f>IF($B132="","",MONTH($B132))</f>
        <v/>
      </c>
      <c r="L132" s="2" t="n"/>
      <c r="M132" s="2" t="n"/>
      <c r="N132" s="2" t="n"/>
      <c r="O132" s="2" t="n"/>
      <c r="P132" s="2" t="n"/>
    </row>
    <row r="133">
      <c r="A133" s="2" t="n"/>
      <c r="B133" s="84" t="n"/>
      <c r="C133" s="78" t="n"/>
      <c r="D133" s="78" t="n"/>
      <c r="E133" s="78" t="n"/>
      <c r="F133" s="73" t="n"/>
      <c r="G133" s="77" t="n"/>
      <c r="H133" s="87">
        <f>IF(OR($F133="",$G133=""),"",ROUND($F133*$G133,2))</f>
        <v/>
      </c>
      <c r="I133" s="87">
        <f>IF($F133="","",ROUND($F133*(1+IF($G133="",0,$G133)),2))</f>
        <v/>
      </c>
      <c r="J133" s="69" t="n"/>
      <c r="K133" s="88">
        <f>IF($B133="","",MONTH($B133))</f>
        <v/>
      </c>
      <c r="L133" s="2" t="n"/>
      <c r="M133" s="2" t="n"/>
      <c r="N133" s="2" t="n"/>
      <c r="O133" s="2" t="n"/>
      <c r="P133" s="2" t="n"/>
    </row>
    <row r="134">
      <c r="A134" s="2" t="n"/>
      <c r="B134" s="84" t="n"/>
      <c r="C134" s="78" t="n"/>
      <c r="D134" s="78" t="n"/>
      <c r="E134" s="78" t="n"/>
      <c r="F134" s="73" t="n"/>
      <c r="G134" s="77" t="n"/>
      <c r="H134" s="85">
        <f>IF(OR($F134="",$G134=""),"",ROUND($F134*$G134,2))</f>
        <v/>
      </c>
      <c r="I134" s="85">
        <f>IF($F134="","",ROUND($F134*(1+IF($G134="",0,$G134)),2))</f>
        <v/>
      </c>
      <c r="J134" s="69" t="n"/>
      <c r="K134" s="86">
        <f>IF($B134="","",MONTH($B134))</f>
        <v/>
      </c>
      <c r="L134" s="2" t="n"/>
      <c r="M134" s="2" t="n"/>
      <c r="N134" s="2" t="n"/>
      <c r="O134" s="2" t="n"/>
      <c r="P134" s="2" t="n"/>
    </row>
    <row r="135">
      <c r="A135" s="2" t="n"/>
      <c r="B135" s="84" t="n"/>
      <c r="C135" s="78" t="n"/>
      <c r="D135" s="78" t="n"/>
      <c r="E135" s="78" t="n"/>
      <c r="F135" s="73" t="n"/>
      <c r="G135" s="77" t="n"/>
      <c r="H135" s="87">
        <f>IF(OR($F135="",$G135=""),"",ROUND($F135*$G135,2))</f>
        <v/>
      </c>
      <c r="I135" s="87">
        <f>IF($F135="","",ROUND($F135*(1+IF($G135="",0,$G135)),2))</f>
        <v/>
      </c>
      <c r="J135" s="69" t="n"/>
      <c r="K135" s="88">
        <f>IF($B135="","",MONTH($B135))</f>
        <v/>
      </c>
      <c r="L135" s="2" t="n"/>
      <c r="M135" s="2" t="n"/>
      <c r="N135" s="2" t="n"/>
      <c r="O135" s="2" t="n"/>
      <c r="P135" s="2" t="n"/>
    </row>
    <row r="136">
      <c r="A136" s="2" t="n"/>
      <c r="B136" s="84" t="n"/>
      <c r="C136" s="78" t="n"/>
      <c r="D136" s="78" t="n"/>
      <c r="E136" s="78" t="n"/>
      <c r="F136" s="73" t="n"/>
      <c r="G136" s="77" t="n"/>
      <c r="H136" s="85">
        <f>IF(OR($F136="",$G136=""),"",ROUND($F136*$G136,2))</f>
        <v/>
      </c>
      <c r="I136" s="85">
        <f>IF($F136="","",ROUND($F136*(1+IF($G136="",0,$G136)),2))</f>
        <v/>
      </c>
      <c r="J136" s="69" t="n"/>
      <c r="K136" s="86">
        <f>IF($B136="","",MONTH($B136))</f>
        <v/>
      </c>
      <c r="L136" s="2" t="n"/>
      <c r="M136" s="2" t="n"/>
      <c r="N136" s="2" t="n"/>
      <c r="O136" s="2" t="n"/>
      <c r="P136" s="2" t="n"/>
    </row>
    <row r="137">
      <c r="A137" s="2" t="n"/>
      <c r="B137" s="84" t="n"/>
      <c r="C137" s="78" t="n"/>
      <c r="D137" s="78" t="n"/>
      <c r="E137" s="78" t="n"/>
      <c r="F137" s="73" t="n"/>
      <c r="G137" s="77" t="n"/>
      <c r="H137" s="87">
        <f>IF(OR($F137="",$G137=""),"",ROUND($F137*$G137,2))</f>
        <v/>
      </c>
      <c r="I137" s="87">
        <f>IF($F137="","",ROUND($F137*(1+IF($G137="",0,$G137)),2))</f>
        <v/>
      </c>
      <c r="J137" s="69" t="n"/>
      <c r="K137" s="88">
        <f>IF($B137="","",MONTH($B137))</f>
        <v/>
      </c>
      <c r="L137" s="2" t="n"/>
      <c r="M137" s="2" t="n"/>
      <c r="N137" s="2" t="n"/>
      <c r="O137" s="2" t="n"/>
      <c r="P137" s="2" t="n"/>
    </row>
    <row r="138">
      <c r="A138" s="2" t="n"/>
      <c r="B138" s="84" t="n"/>
      <c r="C138" s="78" t="n"/>
      <c r="D138" s="78" t="n"/>
      <c r="E138" s="78" t="n"/>
      <c r="F138" s="73" t="n"/>
      <c r="G138" s="77" t="n"/>
      <c r="H138" s="85">
        <f>IF(OR($F138="",$G138=""),"",ROUND($F138*$G138,2))</f>
        <v/>
      </c>
      <c r="I138" s="85">
        <f>IF($F138="","",ROUND($F138*(1+IF($G138="",0,$G138)),2))</f>
        <v/>
      </c>
      <c r="J138" s="69" t="n"/>
      <c r="K138" s="86">
        <f>IF($B138="","",MONTH($B138))</f>
        <v/>
      </c>
      <c r="L138" s="2" t="n"/>
      <c r="M138" s="2" t="n"/>
      <c r="N138" s="2" t="n"/>
      <c r="O138" s="2" t="n"/>
      <c r="P138" s="2" t="n"/>
    </row>
    <row r="139">
      <c r="A139" s="2" t="n"/>
      <c r="B139" s="84" t="n"/>
      <c r="C139" s="78" t="n"/>
      <c r="D139" s="78" t="n"/>
      <c r="E139" s="78" t="n"/>
      <c r="F139" s="73" t="n"/>
      <c r="G139" s="77" t="n"/>
      <c r="H139" s="87">
        <f>IF(OR($F139="",$G139=""),"",ROUND($F139*$G139,2))</f>
        <v/>
      </c>
      <c r="I139" s="87">
        <f>IF($F139="","",ROUND($F139*(1+IF($G139="",0,$G139)),2))</f>
        <v/>
      </c>
      <c r="J139" s="69" t="n"/>
      <c r="K139" s="88">
        <f>IF($B139="","",MONTH($B139))</f>
        <v/>
      </c>
      <c r="L139" s="2" t="n"/>
      <c r="M139" s="2" t="n"/>
      <c r="N139" s="2" t="n"/>
      <c r="O139" s="2" t="n"/>
      <c r="P139" s="2" t="n"/>
    </row>
    <row r="140">
      <c r="A140" s="2" t="n"/>
      <c r="B140" s="84" t="n"/>
      <c r="C140" s="78" t="n"/>
      <c r="D140" s="78" t="n"/>
      <c r="E140" s="78" t="n"/>
      <c r="F140" s="73" t="n"/>
      <c r="G140" s="77" t="n"/>
      <c r="H140" s="85">
        <f>IF(OR($F140="",$G140=""),"",ROUND($F140*$G140,2))</f>
        <v/>
      </c>
      <c r="I140" s="85">
        <f>IF($F140="","",ROUND($F140*(1+IF($G140="",0,$G140)),2))</f>
        <v/>
      </c>
      <c r="J140" s="69" t="n"/>
      <c r="K140" s="86">
        <f>IF($B140="","",MONTH($B140))</f>
        <v/>
      </c>
      <c r="L140" s="2" t="n"/>
      <c r="M140" s="2" t="n"/>
      <c r="N140" s="2" t="n"/>
      <c r="O140" s="2" t="n"/>
      <c r="P140" s="2" t="n"/>
    </row>
    <row r="141">
      <c r="A141" s="2" t="n"/>
      <c r="B141" s="84" t="n"/>
      <c r="C141" s="78" t="n"/>
      <c r="D141" s="78" t="n"/>
      <c r="E141" s="78" t="n"/>
      <c r="F141" s="73" t="n"/>
      <c r="G141" s="77" t="n"/>
      <c r="H141" s="87">
        <f>IF(OR($F141="",$G141=""),"",ROUND($F141*$G141,2))</f>
        <v/>
      </c>
      <c r="I141" s="87">
        <f>IF($F141="","",ROUND($F141*(1+IF($G141="",0,$G141)),2))</f>
        <v/>
      </c>
      <c r="J141" s="69" t="n"/>
      <c r="K141" s="88">
        <f>IF($B141="","",MONTH($B141))</f>
        <v/>
      </c>
      <c r="L141" s="2" t="n"/>
      <c r="M141" s="2" t="n"/>
      <c r="N141" s="2" t="n"/>
      <c r="O141" s="2" t="n"/>
      <c r="P141" s="2" t="n"/>
    </row>
    <row r="142">
      <c r="A142" s="2" t="n"/>
      <c r="B142" s="84" t="n"/>
      <c r="C142" s="78" t="n"/>
      <c r="D142" s="78" t="n"/>
      <c r="E142" s="78" t="n"/>
      <c r="F142" s="73" t="n"/>
      <c r="G142" s="77" t="n"/>
      <c r="H142" s="85">
        <f>IF(OR($F142="",$G142=""),"",ROUND($F142*$G142,2))</f>
        <v/>
      </c>
      <c r="I142" s="85">
        <f>IF($F142="","",ROUND($F142*(1+IF($G142="",0,$G142)),2))</f>
        <v/>
      </c>
      <c r="J142" s="69" t="n"/>
      <c r="K142" s="86">
        <f>IF($B142="","",MONTH($B142))</f>
        <v/>
      </c>
      <c r="L142" s="2" t="n"/>
      <c r="M142" s="2" t="n"/>
      <c r="N142" s="2" t="n"/>
      <c r="O142" s="2" t="n"/>
      <c r="P142" s="2" t="n"/>
    </row>
    <row r="143">
      <c r="A143" s="2" t="n"/>
      <c r="B143" s="84" t="n"/>
      <c r="C143" s="78" t="n"/>
      <c r="D143" s="78" t="n"/>
      <c r="E143" s="78" t="n"/>
      <c r="F143" s="73" t="n"/>
      <c r="G143" s="77" t="n"/>
      <c r="H143" s="87">
        <f>IF(OR($F143="",$G143=""),"",ROUND($F143*$G143,2))</f>
        <v/>
      </c>
      <c r="I143" s="87">
        <f>IF($F143="","",ROUND($F143*(1+IF($G143="",0,$G143)),2))</f>
        <v/>
      </c>
      <c r="J143" s="69" t="n"/>
      <c r="K143" s="88">
        <f>IF($B143="","",MONTH($B143))</f>
        <v/>
      </c>
      <c r="L143" s="2" t="n"/>
      <c r="M143" s="2" t="n"/>
      <c r="N143" s="2" t="n"/>
      <c r="O143" s="2" t="n"/>
      <c r="P143" s="2" t="n"/>
    </row>
    <row r="144">
      <c r="A144" s="2" t="n"/>
      <c r="B144" s="84" t="n"/>
      <c r="C144" s="78" t="n"/>
      <c r="D144" s="78" t="n"/>
      <c r="E144" s="78" t="n"/>
      <c r="F144" s="73" t="n"/>
      <c r="G144" s="77" t="n"/>
      <c r="H144" s="85">
        <f>IF(OR($F144="",$G144=""),"",ROUND($F144*$G144,2))</f>
        <v/>
      </c>
      <c r="I144" s="85">
        <f>IF($F144="","",ROUND($F144*(1+IF($G144="",0,$G144)),2))</f>
        <v/>
      </c>
      <c r="J144" s="69" t="n"/>
      <c r="K144" s="86">
        <f>IF($B144="","",MONTH($B144))</f>
        <v/>
      </c>
      <c r="L144" s="2" t="n"/>
      <c r="M144" s="2" t="n"/>
      <c r="N144" s="2" t="n"/>
      <c r="O144" s="2" t="n"/>
      <c r="P144" s="2" t="n"/>
    </row>
    <row r="145">
      <c r="A145" s="2" t="n"/>
      <c r="B145" s="84" t="n"/>
      <c r="C145" s="78" t="n"/>
      <c r="D145" s="78" t="n"/>
      <c r="E145" s="78" t="n"/>
      <c r="F145" s="73" t="n"/>
      <c r="G145" s="77" t="n"/>
      <c r="H145" s="87">
        <f>IF(OR($F145="",$G145=""),"",ROUND($F145*$G145,2))</f>
        <v/>
      </c>
      <c r="I145" s="87">
        <f>IF($F145="","",ROUND($F145*(1+IF($G145="",0,$G145)),2))</f>
        <v/>
      </c>
      <c r="J145" s="69" t="n"/>
      <c r="K145" s="88">
        <f>IF($B145="","",MONTH($B145))</f>
        <v/>
      </c>
      <c r="L145" s="2" t="n"/>
      <c r="M145" s="2" t="n"/>
      <c r="N145" s="2" t="n"/>
      <c r="O145" s="2" t="n"/>
      <c r="P145" s="2" t="n"/>
    </row>
    <row r="146">
      <c r="A146" s="2" t="n"/>
      <c r="B146" s="84" t="n"/>
      <c r="C146" s="78" t="n"/>
      <c r="D146" s="78" t="n"/>
      <c r="E146" s="78" t="n"/>
      <c r="F146" s="73" t="n"/>
      <c r="G146" s="77" t="n"/>
      <c r="H146" s="85">
        <f>IF(OR($F146="",$G146=""),"",ROUND($F146*$G146,2))</f>
        <v/>
      </c>
      <c r="I146" s="85">
        <f>IF($F146="","",ROUND($F146*(1+IF($G146="",0,$G146)),2))</f>
        <v/>
      </c>
      <c r="J146" s="69" t="n"/>
      <c r="K146" s="86">
        <f>IF($B146="","",MONTH($B146))</f>
        <v/>
      </c>
      <c r="L146" s="2" t="n"/>
      <c r="M146" s="2" t="n"/>
      <c r="N146" s="2" t="n"/>
      <c r="O146" s="2" t="n"/>
      <c r="P146" s="2" t="n"/>
    </row>
    <row r="147">
      <c r="A147" s="2" t="n"/>
      <c r="B147" s="84" t="n"/>
      <c r="C147" s="78" t="n"/>
      <c r="D147" s="78" t="n"/>
      <c r="E147" s="78" t="n"/>
      <c r="F147" s="73" t="n"/>
      <c r="G147" s="77" t="n"/>
      <c r="H147" s="87">
        <f>IF(OR($F147="",$G147=""),"",ROUND($F147*$G147,2))</f>
        <v/>
      </c>
      <c r="I147" s="87">
        <f>IF($F147="","",ROUND($F147*(1+IF($G147="",0,$G147)),2))</f>
        <v/>
      </c>
      <c r="J147" s="69" t="n"/>
      <c r="K147" s="88">
        <f>IF($B147="","",MONTH($B147))</f>
        <v/>
      </c>
      <c r="L147" s="2" t="n"/>
      <c r="M147" s="2" t="n"/>
      <c r="N147" s="2" t="n"/>
      <c r="O147" s="2" t="n"/>
      <c r="P147" s="2" t="n"/>
    </row>
    <row r="148">
      <c r="A148" s="2" t="n"/>
      <c r="B148" s="84" t="n"/>
      <c r="C148" s="78" t="n"/>
      <c r="D148" s="78" t="n"/>
      <c r="E148" s="78" t="n"/>
      <c r="F148" s="73" t="n"/>
      <c r="G148" s="77" t="n"/>
      <c r="H148" s="85">
        <f>IF(OR($F148="",$G148=""),"",ROUND($F148*$G148,2))</f>
        <v/>
      </c>
      <c r="I148" s="85">
        <f>IF($F148="","",ROUND($F148*(1+IF($G148="",0,$G148)),2))</f>
        <v/>
      </c>
      <c r="J148" s="69" t="n"/>
      <c r="K148" s="86">
        <f>IF($B148="","",MONTH($B148))</f>
        <v/>
      </c>
      <c r="L148" s="2" t="n"/>
      <c r="M148" s="2" t="n"/>
      <c r="N148" s="2" t="n"/>
      <c r="O148" s="2" t="n"/>
      <c r="P148" s="2" t="n"/>
    </row>
    <row r="149">
      <c r="A149" s="2" t="n"/>
      <c r="B149" s="84" t="n"/>
      <c r="C149" s="78" t="n"/>
      <c r="D149" s="78" t="n"/>
      <c r="E149" s="78" t="n"/>
      <c r="F149" s="73" t="n"/>
      <c r="G149" s="77" t="n"/>
      <c r="H149" s="87">
        <f>IF(OR($F149="",$G149=""),"",ROUND($F149*$G149,2))</f>
        <v/>
      </c>
      <c r="I149" s="87">
        <f>IF($F149="","",ROUND($F149*(1+IF($G149="",0,$G149)),2))</f>
        <v/>
      </c>
      <c r="J149" s="69" t="n"/>
      <c r="K149" s="88">
        <f>IF($B149="","",MONTH($B149))</f>
        <v/>
      </c>
      <c r="L149" s="2" t="n"/>
      <c r="M149" s="2" t="n"/>
      <c r="N149" s="2" t="n"/>
      <c r="O149" s="2" t="n"/>
      <c r="P149" s="2" t="n"/>
    </row>
    <row r="150">
      <c r="A150" s="2" t="n"/>
      <c r="B150" s="84" t="n"/>
      <c r="C150" s="78" t="n"/>
      <c r="D150" s="78" t="n"/>
      <c r="E150" s="78" t="n"/>
      <c r="F150" s="73" t="n"/>
      <c r="G150" s="77" t="n"/>
      <c r="H150" s="85">
        <f>IF(OR($F150="",$G150=""),"",ROUND($F150*$G150,2))</f>
        <v/>
      </c>
      <c r="I150" s="85">
        <f>IF($F150="","",ROUND($F150*(1+IF($G150="",0,$G150)),2))</f>
        <v/>
      </c>
      <c r="J150" s="69" t="n"/>
      <c r="K150" s="86">
        <f>IF($B150="","",MONTH($B150))</f>
        <v/>
      </c>
      <c r="L150" s="2" t="n"/>
      <c r="M150" s="2" t="n"/>
      <c r="N150" s="2" t="n"/>
      <c r="O150" s="2" t="n"/>
      <c r="P150" s="2" t="n"/>
    </row>
    <row r="151">
      <c r="A151" s="2" t="n"/>
      <c r="B151" s="84" t="n"/>
      <c r="C151" s="78" t="n"/>
      <c r="D151" s="78" t="n"/>
      <c r="E151" s="78" t="n"/>
      <c r="F151" s="73" t="n"/>
      <c r="G151" s="77" t="n"/>
      <c r="H151" s="87">
        <f>IF(OR($F151="",$G151=""),"",ROUND($F151*$G151,2))</f>
        <v/>
      </c>
      <c r="I151" s="87">
        <f>IF($F151="","",ROUND($F151*(1+IF($G151="",0,$G151)),2))</f>
        <v/>
      </c>
      <c r="J151" s="69" t="n"/>
      <c r="K151" s="88">
        <f>IF($B151="","",MONTH($B151))</f>
        <v/>
      </c>
      <c r="L151" s="2" t="n"/>
      <c r="M151" s="2" t="n"/>
      <c r="N151" s="2" t="n"/>
      <c r="O151" s="2" t="n"/>
      <c r="P151" s="2" t="n"/>
    </row>
    <row r="152">
      <c r="A152" s="2" t="n"/>
      <c r="B152" s="84" t="n"/>
      <c r="C152" s="78" t="n"/>
      <c r="D152" s="78" t="n"/>
      <c r="E152" s="78" t="n"/>
      <c r="F152" s="73" t="n"/>
      <c r="G152" s="77" t="n"/>
      <c r="H152" s="85">
        <f>IF(OR($F152="",$G152=""),"",ROUND($F152*$G152,2))</f>
        <v/>
      </c>
      <c r="I152" s="85">
        <f>IF($F152="","",ROUND($F152*(1+IF($G152="",0,$G152)),2))</f>
        <v/>
      </c>
      <c r="J152" s="69" t="n"/>
      <c r="K152" s="86">
        <f>IF($B152="","",MONTH($B152))</f>
        <v/>
      </c>
      <c r="L152" s="2" t="n"/>
      <c r="M152" s="2" t="n"/>
      <c r="N152" s="2" t="n"/>
      <c r="O152" s="2" t="n"/>
      <c r="P152" s="2" t="n"/>
    </row>
    <row r="153">
      <c r="A153" s="2" t="n"/>
      <c r="B153" s="84" t="n"/>
      <c r="C153" s="78" t="n"/>
      <c r="D153" s="78" t="n"/>
      <c r="E153" s="78" t="n"/>
      <c r="F153" s="73" t="n"/>
      <c r="G153" s="77" t="n"/>
      <c r="H153" s="87">
        <f>IF(OR($F153="",$G153=""),"",ROUND($F153*$G153,2))</f>
        <v/>
      </c>
      <c r="I153" s="87">
        <f>IF($F153="","",ROUND($F153*(1+IF($G153="",0,$G153)),2))</f>
        <v/>
      </c>
      <c r="J153" s="69" t="n"/>
      <c r="K153" s="88">
        <f>IF($B153="","",MONTH($B153))</f>
        <v/>
      </c>
      <c r="L153" s="2" t="n"/>
      <c r="M153" s="2" t="n"/>
      <c r="N153" s="2" t="n"/>
      <c r="O153" s="2" t="n"/>
      <c r="P153" s="2" t="n"/>
    </row>
    <row r="154">
      <c r="A154" s="2" t="n"/>
      <c r="B154" s="84" t="n"/>
      <c r="C154" s="78" t="n"/>
      <c r="D154" s="78" t="n"/>
      <c r="E154" s="78" t="n"/>
      <c r="F154" s="73" t="n"/>
      <c r="G154" s="77" t="n"/>
      <c r="H154" s="85">
        <f>IF(OR($F154="",$G154=""),"",ROUND($F154*$G154,2))</f>
        <v/>
      </c>
      <c r="I154" s="85">
        <f>IF($F154="","",ROUND($F154*(1+IF($G154="",0,$G154)),2))</f>
        <v/>
      </c>
      <c r="J154" s="69" t="n"/>
      <c r="K154" s="86">
        <f>IF($B154="","",MONTH($B154))</f>
        <v/>
      </c>
      <c r="L154" s="2" t="n"/>
      <c r="M154" s="2" t="n"/>
      <c r="N154" s="2" t="n"/>
      <c r="O154" s="2" t="n"/>
      <c r="P154" s="2" t="n"/>
    </row>
    <row r="155">
      <c r="A155" s="2" t="n"/>
      <c r="B155" s="84" t="n"/>
      <c r="C155" s="78" t="n"/>
      <c r="D155" s="78" t="n"/>
      <c r="E155" s="78" t="n"/>
      <c r="F155" s="73" t="n"/>
      <c r="G155" s="77" t="n"/>
      <c r="H155" s="87">
        <f>IF(OR($F155="",$G155=""),"",ROUND($F155*$G155,2))</f>
        <v/>
      </c>
      <c r="I155" s="87">
        <f>IF($F155="","",ROUND($F155*(1+IF($G155="",0,$G155)),2))</f>
        <v/>
      </c>
      <c r="J155" s="69" t="n"/>
      <c r="K155" s="88">
        <f>IF($B155="","",MONTH($B155))</f>
        <v/>
      </c>
      <c r="L155" s="2" t="n"/>
      <c r="M155" s="2" t="n"/>
      <c r="N155" s="2" t="n"/>
      <c r="O155" s="2" t="n"/>
      <c r="P155" s="2" t="n"/>
    </row>
    <row r="156">
      <c r="A156" s="2" t="n"/>
      <c r="B156" s="84" t="n"/>
      <c r="C156" s="78" t="n"/>
      <c r="D156" s="78" t="n"/>
      <c r="E156" s="78" t="n"/>
      <c r="F156" s="73" t="n"/>
      <c r="G156" s="77" t="n"/>
      <c r="H156" s="85">
        <f>IF(OR($F156="",$G156=""),"",ROUND($F156*$G156,2))</f>
        <v/>
      </c>
      <c r="I156" s="85">
        <f>IF($F156="","",ROUND($F156*(1+IF($G156="",0,$G156)),2))</f>
        <v/>
      </c>
      <c r="J156" s="69" t="n"/>
      <c r="K156" s="86">
        <f>IF($B156="","",MONTH($B156))</f>
        <v/>
      </c>
      <c r="L156" s="2" t="n"/>
      <c r="M156" s="2" t="n"/>
      <c r="N156" s="2" t="n"/>
      <c r="O156" s="2" t="n"/>
      <c r="P156" s="2" t="n"/>
    </row>
    <row r="157">
      <c r="A157" s="2" t="n"/>
      <c r="B157" s="84" t="n"/>
      <c r="C157" s="78" t="n"/>
      <c r="D157" s="78" t="n"/>
      <c r="E157" s="78" t="n"/>
      <c r="F157" s="73" t="n"/>
      <c r="G157" s="77" t="n"/>
      <c r="H157" s="87">
        <f>IF(OR($F157="",$G157=""),"",ROUND($F157*$G157,2))</f>
        <v/>
      </c>
      <c r="I157" s="87">
        <f>IF($F157="","",ROUND($F157*(1+IF($G157="",0,$G157)),2))</f>
        <v/>
      </c>
      <c r="J157" s="69" t="n"/>
      <c r="K157" s="88">
        <f>IF($B157="","",MONTH($B157))</f>
        <v/>
      </c>
      <c r="L157" s="2" t="n"/>
      <c r="M157" s="2" t="n"/>
      <c r="N157" s="2" t="n"/>
      <c r="O157" s="2" t="n"/>
      <c r="P157" s="2" t="n"/>
    </row>
    <row r="158">
      <c r="A158" s="2" t="n"/>
      <c r="B158" s="84" t="n"/>
      <c r="C158" s="78" t="n"/>
      <c r="D158" s="78" t="n"/>
      <c r="E158" s="78" t="n"/>
      <c r="F158" s="73" t="n"/>
      <c r="G158" s="77" t="n"/>
      <c r="H158" s="85">
        <f>IF(OR($F158="",$G158=""),"",ROUND($F158*$G158,2))</f>
        <v/>
      </c>
      <c r="I158" s="85">
        <f>IF($F158="","",ROUND($F158*(1+IF($G158="",0,$G158)),2))</f>
        <v/>
      </c>
      <c r="J158" s="69" t="n"/>
      <c r="K158" s="86">
        <f>IF($B158="","",MONTH($B158))</f>
        <v/>
      </c>
      <c r="L158" s="2" t="n"/>
      <c r="M158" s="2" t="n"/>
      <c r="N158" s="2" t="n"/>
      <c r="O158" s="2" t="n"/>
      <c r="P158" s="2" t="n"/>
    </row>
    <row r="159">
      <c r="A159" s="2" t="n"/>
      <c r="B159" s="84" t="n"/>
      <c r="C159" s="78" t="n"/>
      <c r="D159" s="78" t="n"/>
      <c r="E159" s="78" t="n"/>
      <c r="F159" s="73" t="n"/>
      <c r="G159" s="77" t="n"/>
      <c r="H159" s="87">
        <f>IF(OR($F159="",$G159=""),"",ROUND($F159*$G159,2))</f>
        <v/>
      </c>
      <c r="I159" s="87">
        <f>IF($F159="","",ROUND($F159*(1+IF($G159="",0,$G159)),2))</f>
        <v/>
      </c>
      <c r="J159" s="69" t="n"/>
      <c r="K159" s="88">
        <f>IF($B159="","",MONTH($B159))</f>
        <v/>
      </c>
      <c r="L159" s="2" t="n"/>
      <c r="M159" s="2" t="n"/>
      <c r="N159" s="2" t="n"/>
      <c r="O159" s="2" t="n"/>
      <c r="P159" s="2" t="n"/>
    </row>
    <row r="160">
      <c r="A160" s="2" t="n"/>
      <c r="B160" s="84" t="n"/>
      <c r="C160" s="78" t="n"/>
      <c r="D160" s="78" t="n"/>
      <c r="E160" s="78" t="n"/>
      <c r="F160" s="73" t="n"/>
      <c r="G160" s="77" t="n"/>
      <c r="H160" s="85">
        <f>IF(OR($F160="",$G160=""),"",ROUND($F160*$G160,2))</f>
        <v/>
      </c>
      <c r="I160" s="85">
        <f>IF($F160="","",ROUND($F160*(1+IF($G160="",0,$G160)),2))</f>
        <v/>
      </c>
      <c r="J160" s="69" t="n"/>
      <c r="K160" s="86">
        <f>IF($B160="","",MONTH($B160))</f>
        <v/>
      </c>
      <c r="L160" s="2" t="n"/>
      <c r="M160" s="2" t="n"/>
      <c r="N160" s="2" t="n"/>
      <c r="O160" s="2" t="n"/>
      <c r="P160" s="2" t="n"/>
    </row>
    <row r="161">
      <c r="A161" s="2" t="n"/>
      <c r="B161" s="84" t="n"/>
      <c r="C161" s="78" t="n"/>
      <c r="D161" s="78" t="n"/>
      <c r="E161" s="78" t="n"/>
      <c r="F161" s="73" t="n"/>
      <c r="G161" s="77" t="n"/>
      <c r="H161" s="87">
        <f>IF(OR($F161="",$G161=""),"",ROUND($F161*$G161,2))</f>
        <v/>
      </c>
      <c r="I161" s="87">
        <f>IF($F161="","",ROUND($F161*(1+IF($G161="",0,$G161)),2))</f>
        <v/>
      </c>
      <c r="J161" s="69" t="n"/>
      <c r="K161" s="88">
        <f>IF($B161="","",MONTH($B161))</f>
        <v/>
      </c>
      <c r="L161" s="2" t="n"/>
      <c r="M161" s="2" t="n"/>
      <c r="N161" s="2" t="n"/>
      <c r="O161" s="2" t="n"/>
      <c r="P161" s="2" t="n"/>
    </row>
    <row r="162">
      <c r="A162" s="2" t="n"/>
      <c r="B162" s="84" t="n"/>
      <c r="C162" s="78" t="n"/>
      <c r="D162" s="78" t="n"/>
      <c r="E162" s="78" t="n"/>
      <c r="F162" s="73" t="n"/>
      <c r="G162" s="77" t="n"/>
      <c r="H162" s="85">
        <f>IF(OR($F162="",$G162=""),"",ROUND($F162*$G162,2))</f>
        <v/>
      </c>
      <c r="I162" s="85">
        <f>IF($F162="","",ROUND($F162*(1+IF($G162="",0,$G162)),2))</f>
        <v/>
      </c>
      <c r="J162" s="69" t="n"/>
      <c r="K162" s="86">
        <f>IF($B162="","",MONTH($B162))</f>
        <v/>
      </c>
      <c r="L162" s="2" t="n"/>
      <c r="M162" s="2" t="n"/>
      <c r="N162" s="2" t="n"/>
      <c r="O162" s="2" t="n"/>
      <c r="P162" s="2" t="n"/>
    </row>
    <row r="163">
      <c r="A163" s="2" t="n"/>
      <c r="B163" s="84" t="n"/>
      <c r="C163" s="78" t="n"/>
      <c r="D163" s="78" t="n"/>
      <c r="E163" s="78" t="n"/>
      <c r="F163" s="73" t="n"/>
      <c r="G163" s="77" t="n"/>
      <c r="H163" s="87">
        <f>IF(OR($F163="",$G163=""),"",ROUND($F163*$G163,2))</f>
        <v/>
      </c>
      <c r="I163" s="87">
        <f>IF($F163="","",ROUND($F163*(1+IF($G163="",0,$G163)),2))</f>
        <v/>
      </c>
      <c r="J163" s="69" t="n"/>
      <c r="K163" s="88">
        <f>IF($B163="","",MONTH($B163))</f>
        <v/>
      </c>
      <c r="L163" s="2" t="n"/>
      <c r="M163" s="2" t="n"/>
      <c r="N163" s="2" t="n"/>
      <c r="O163" s="2" t="n"/>
      <c r="P163" s="2" t="n"/>
    </row>
    <row r="164">
      <c r="A164" s="2" t="n"/>
      <c r="B164" s="84" t="n"/>
      <c r="C164" s="78" t="n"/>
      <c r="D164" s="78" t="n"/>
      <c r="E164" s="78" t="n"/>
      <c r="F164" s="73" t="n"/>
      <c r="G164" s="77" t="n"/>
      <c r="H164" s="85">
        <f>IF(OR($F164="",$G164=""),"",ROUND($F164*$G164,2))</f>
        <v/>
      </c>
      <c r="I164" s="85">
        <f>IF($F164="","",ROUND($F164*(1+IF($G164="",0,$G164)),2))</f>
        <v/>
      </c>
      <c r="J164" s="69" t="n"/>
      <c r="K164" s="86">
        <f>IF($B164="","",MONTH($B164))</f>
        <v/>
      </c>
      <c r="L164" s="2" t="n"/>
      <c r="M164" s="2" t="n"/>
      <c r="N164" s="2" t="n"/>
      <c r="O164" s="2" t="n"/>
      <c r="P164" s="2" t="n"/>
    </row>
    <row r="165">
      <c r="A165" s="2" t="n"/>
      <c r="B165" s="84" t="n"/>
      <c r="C165" s="78" t="n"/>
      <c r="D165" s="78" t="n"/>
      <c r="E165" s="78" t="n"/>
      <c r="F165" s="73" t="n"/>
      <c r="G165" s="77" t="n"/>
      <c r="H165" s="87">
        <f>IF(OR($F165="",$G165=""),"",ROUND($F165*$G165,2))</f>
        <v/>
      </c>
      <c r="I165" s="87">
        <f>IF($F165="","",ROUND($F165*(1+IF($G165="",0,$G165)),2))</f>
        <v/>
      </c>
      <c r="J165" s="69" t="n"/>
      <c r="K165" s="88">
        <f>IF($B165="","",MONTH($B165))</f>
        <v/>
      </c>
      <c r="L165" s="2" t="n"/>
      <c r="M165" s="2" t="n"/>
      <c r="N165" s="2" t="n"/>
      <c r="O165" s="2" t="n"/>
      <c r="P165" s="2" t="n"/>
    </row>
    <row r="166">
      <c r="A166" s="2" t="n"/>
      <c r="B166" s="84" t="n"/>
      <c r="C166" s="78" t="n"/>
      <c r="D166" s="78" t="n"/>
      <c r="E166" s="78" t="n"/>
      <c r="F166" s="73" t="n"/>
      <c r="G166" s="77" t="n"/>
      <c r="H166" s="85">
        <f>IF(OR($F166="",$G166=""),"",ROUND($F166*$G166,2))</f>
        <v/>
      </c>
      <c r="I166" s="85">
        <f>IF($F166="","",ROUND($F166*(1+IF($G166="",0,$G166)),2))</f>
        <v/>
      </c>
      <c r="J166" s="69" t="n"/>
      <c r="K166" s="86">
        <f>IF($B166="","",MONTH($B166))</f>
        <v/>
      </c>
      <c r="L166" s="2" t="n"/>
      <c r="M166" s="2" t="n"/>
      <c r="N166" s="2" t="n"/>
      <c r="O166" s="2" t="n"/>
      <c r="P166" s="2" t="n"/>
    </row>
    <row r="167">
      <c r="A167" s="2" t="n"/>
      <c r="B167" s="84" t="n"/>
      <c r="C167" s="78" t="n"/>
      <c r="D167" s="78" t="n"/>
      <c r="E167" s="78" t="n"/>
      <c r="F167" s="73" t="n"/>
      <c r="G167" s="77" t="n"/>
      <c r="H167" s="87">
        <f>IF(OR($F167="",$G167=""),"",ROUND($F167*$G167,2))</f>
        <v/>
      </c>
      <c r="I167" s="87">
        <f>IF($F167="","",ROUND($F167*(1+IF($G167="",0,$G167)),2))</f>
        <v/>
      </c>
      <c r="J167" s="69" t="n"/>
      <c r="K167" s="88">
        <f>IF($B167="","",MONTH($B167))</f>
        <v/>
      </c>
      <c r="L167" s="2" t="n"/>
      <c r="M167" s="2" t="n"/>
      <c r="N167" s="2" t="n"/>
      <c r="O167" s="2" t="n"/>
      <c r="P167" s="2" t="n"/>
    </row>
    <row r="168">
      <c r="A168" s="2" t="n"/>
      <c r="B168" s="84" t="n"/>
      <c r="C168" s="78" t="n"/>
      <c r="D168" s="78" t="n"/>
      <c r="E168" s="78" t="n"/>
      <c r="F168" s="73" t="n"/>
      <c r="G168" s="77" t="n"/>
      <c r="H168" s="85">
        <f>IF(OR($F168="",$G168=""),"",ROUND($F168*$G168,2))</f>
        <v/>
      </c>
      <c r="I168" s="85">
        <f>IF($F168="","",ROUND($F168*(1+IF($G168="",0,$G168)),2))</f>
        <v/>
      </c>
      <c r="J168" s="69" t="n"/>
      <c r="K168" s="86">
        <f>IF($B168="","",MONTH($B168))</f>
        <v/>
      </c>
      <c r="L168" s="2" t="n"/>
      <c r="M168" s="2" t="n"/>
      <c r="N168" s="2" t="n"/>
      <c r="O168" s="2" t="n"/>
      <c r="P168" s="2" t="n"/>
    </row>
    <row r="169">
      <c r="A169" s="2" t="n"/>
      <c r="B169" s="84" t="n"/>
      <c r="C169" s="78" t="n"/>
      <c r="D169" s="78" t="n"/>
      <c r="E169" s="78" t="n"/>
      <c r="F169" s="73" t="n"/>
      <c r="G169" s="77" t="n"/>
      <c r="H169" s="87">
        <f>IF(OR($F169="",$G169=""),"",ROUND($F169*$G169,2))</f>
        <v/>
      </c>
      <c r="I169" s="87">
        <f>IF($F169="","",ROUND($F169*(1+IF($G169="",0,$G169)),2))</f>
        <v/>
      </c>
      <c r="J169" s="69" t="n"/>
      <c r="K169" s="88">
        <f>IF($B169="","",MONTH($B169))</f>
        <v/>
      </c>
      <c r="L169" s="2" t="n"/>
      <c r="M169" s="2" t="n"/>
      <c r="N169" s="2" t="n"/>
      <c r="O169" s="2" t="n"/>
      <c r="P169" s="2" t="n"/>
    </row>
    <row r="170">
      <c r="A170" s="2" t="n"/>
      <c r="B170" s="84" t="n"/>
      <c r="C170" s="78" t="n"/>
      <c r="D170" s="78" t="n"/>
      <c r="E170" s="78" t="n"/>
      <c r="F170" s="73" t="n"/>
      <c r="G170" s="77" t="n"/>
      <c r="H170" s="85">
        <f>IF(OR($F170="",$G170=""),"",ROUND($F170*$G170,2))</f>
        <v/>
      </c>
      <c r="I170" s="85">
        <f>IF($F170="","",ROUND($F170*(1+IF($G170="",0,$G170)),2))</f>
        <v/>
      </c>
      <c r="J170" s="69" t="n"/>
      <c r="K170" s="86">
        <f>IF($B170="","",MONTH($B170))</f>
        <v/>
      </c>
      <c r="L170" s="2" t="n"/>
      <c r="M170" s="2" t="n"/>
      <c r="N170" s="2" t="n"/>
      <c r="O170" s="2" t="n"/>
      <c r="P170" s="2" t="n"/>
    </row>
    <row r="171">
      <c r="A171" s="2" t="n"/>
      <c r="B171" s="84" t="n"/>
      <c r="C171" s="78" t="n"/>
      <c r="D171" s="78" t="n"/>
      <c r="E171" s="78" t="n"/>
      <c r="F171" s="73" t="n"/>
      <c r="G171" s="77" t="n"/>
      <c r="H171" s="87">
        <f>IF(OR($F171="",$G171=""),"",ROUND($F171*$G171,2))</f>
        <v/>
      </c>
      <c r="I171" s="87">
        <f>IF($F171="","",ROUND($F171*(1+IF($G171="",0,$G171)),2))</f>
        <v/>
      </c>
      <c r="J171" s="69" t="n"/>
      <c r="K171" s="88">
        <f>IF($B171="","",MONTH($B171))</f>
        <v/>
      </c>
      <c r="L171" s="2" t="n"/>
      <c r="M171" s="2" t="n"/>
      <c r="N171" s="2" t="n"/>
      <c r="O171" s="2" t="n"/>
      <c r="P171" s="2" t="n"/>
    </row>
    <row r="172">
      <c r="A172" s="2" t="n"/>
      <c r="B172" s="84" t="n"/>
      <c r="C172" s="78" t="n"/>
      <c r="D172" s="78" t="n"/>
      <c r="E172" s="78" t="n"/>
      <c r="F172" s="73" t="n"/>
      <c r="G172" s="77" t="n"/>
      <c r="H172" s="85">
        <f>IF(OR($F172="",$G172=""),"",ROUND($F172*$G172,2))</f>
        <v/>
      </c>
      <c r="I172" s="85">
        <f>IF($F172="","",ROUND($F172*(1+IF($G172="",0,$G172)),2))</f>
        <v/>
      </c>
      <c r="J172" s="69" t="n"/>
      <c r="K172" s="86">
        <f>IF($B172="","",MONTH($B172))</f>
        <v/>
      </c>
      <c r="L172" s="2" t="n"/>
      <c r="M172" s="2" t="n"/>
      <c r="N172" s="2" t="n"/>
      <c r="O172" s="2" t="n"/>
      <c r="P172" s="2" t="n"/>
    </row>
    <row r="173">
      <c r="A173" s="2" t="n"/>
      <c r="B173" s="84" t="n"/>
      <c r="C173" s="78" t="n"/>
      <c r="D173" s="78" t="n"/>
      <c r="E173" s="78" t="n"/>
      <c r="F173" s="73" t="n"/>
      <c r="G173" s="77" t="n"/>
      <c r="H173" s="87">
        <f>IF(OR($F173="",$G173=""),"",ROUND($F173*$G173,2))</f>
        <v/>
      </c>
      <c r="I173" s="87">
        <f>IF($F173="","",ROUND($F173*(1+IF($G173="",0,$G173)),2))</f>
        <v/>
      </c>
      <c r="J173" s="69" t="n"/>
      <c r="K173" s="88">
        <f>IF($B173="","",MONTH($B173))</f>
        <v/>
      </c>
      <c r="L173" s="2" t="n"/>
      <c r="M173" s="2" t="n"/>
      <c r="N173" s="2" t="n"/>
      <c r="O173" s="2" t="n"/>
      <c r="P173" s="2" t="n"/>
    </row>
    <row r="174">
      <c r="A174" s="2" t="n"/>
      <c r="B174" s="84" t="n"/>
      <c r="C174" s="78" t="n"/>
      <c r="D174" s="78" t="n"/>
      <c r="E174" s="78" t="n"/>
      <c r="F174" s="73" t="n"/>
      <c r="G174" s="77" t="n"/>
      <c r="H174" s="85">
        <f>IF(OR($F174="",$G174=""),"",ROUND($F174*$G174,2))</f>
        <v/>
      </c>
      <c r="I174" s="85">
        <f>IF($F174="","",ROUND($F174*(1+IF($G174="",0,$G174)),2))</f>
        <v/>
      </c>
      <c r="J174" s="69" t="n"/>
      <c r="K174" s="86">
        <f>IF($B174="","",MONTH($B174))</f>
        <v/>
      </c>
      <c r="L174" s="2" t="n"/>
      <c r="M174" s="2" t="n"/>
      <c r="N174" s="2" t="n"/>
      <c r="O174" s="2" t="n"/>
      <c r="P174" s="2" t="n"/>
    </row>
    <row r="175">
      <c r="A175" s="2" t="n"/>
      <c r="B175" s="84" t="n"/>
      <c r="C175" s="78" t="n"/>
      <c r="D175" s="78" t="n"/>
      <c r="E175" s="78" t="n"/>
      <c r="F175" s="73" t="n"/>
      <c r="G175" s="77" t="n"/>
      <c r="H175" s="87">
        <f>IF(OR($F175="",$G175=""),"",ROUND($F175*$G175,2))</f>
        <v/>
      </c>
      <c r="I175" s="87">
        <f>IF($F175="","",ROUND($F175*(1+IF($G175="",0,$G175)),2))</f>
        <v/>
      </c>
      <c r="J175" s="69" t="n"/>
      <c r="K175" s="88">
        <f>IF($B175="","",MONTH($B175))</f>
        <v/>
      </c>
      <c r="L175" s="2" t="n"/>
      <c r="M175" s="2" t="n"/>
      <c r="N175" s="2" t="n"/>
      <c r="O175" s="2" t="n"/>
      <c r="P175" s="2" t="n"/>
    </row>
    <row r="176">
      <c r="A176" s="2" t="n"/>
      <c r="B176" s="84" t="n"/>
      <c r="C176" s="78" t="n"/>
      <c r="D176" s="78" t="n"/>
      <c r="E176" s="78" t="n"/>
      <c r="F176" s="73" t="n"/>
      <c r="G176" s="77" t="n"/>
      <c r="H176" s="85">
        <f>IF(OR($F176="",$G176=""),"",ROUND($F176*$G176,2))</f>
        <v/>
      </c>
      <c r="I176" s="85">
        <f>IF($F176="","",ROUND($F176*(1+IF($G176="",0,$G176)),2))</f>
        <v/>
      </c>
      <c r="J176" s="69" t="n"/>
      <c r="K176" s="86">
        <f>IF($B176="","",MONTH($B176))</f>
        <v/>
      </c>
      <c r="L176" s="2" t="n"/>
      <c r="M176" s="2" t="n"/>
      <c r="N176" s="2" t="n"/>
      <c r="O176" s="2" t="n"/>
      <c r="P176" s="2" t="n"/>
    </row>
    <row r="177">
      <c r="A177" s="2" t="n"/>
      <c r="B177" s="84" t="n"/>
      <c r="C177" s="78" t="n"/>
      <c r="D177" s="78" t="n"/>
      <c r="E177" s="78" t="n"/>
      <c r="F177" s="73" t="n"/>
      <c r="G177" s="77" t="n"/>
      <c r="H177" s="87">
        <f>IF(OR($F177="",$G177=""),"",ROUND($F177*$G177,2))</f>
        <v/>
      </c>
      <c r="I177" s="87">
        <f>IF($F177="","",ROUND($F177*(1+IF($G177="",0,$G177)),2))</f>
        <v/>
      </c>
      <c r="J177" s="69" t="n"/>
      <c r="K177" s="88">
        <f>IF($B177="","",MONTH($B177))</f>
        <v/>
      </c>
      <c r="L177" s="2" t="n"/>
      <c r="M177" s="2" t="n"/>
      <c r="N177" s="2" t="n"/>
      <c r="O177" s="2" t="n"/>
      <c r="P177" s="2" t="n"/>
    </row>
    <row r="178">
      <c r="A178" s="2" t="n"/>
      <c r="B178" s="84" t="n"/>
      <c r="C178" s="78" t="n"/>
      <c r="D178" s="78" t="n"/>
      <c r="E178" s="78" t="n"/>
      <c r="F178" s="73" t="n"/>
      <c r="G178" s="77" t="n"/>
      <c r="H178" s="85">
        <f>IF(OR($F178="",$G178=""),"",ROUND($F178*$G178,2))</f>
        <v/>
      </c>
      <c r="I178" s="85">
        <f>IF($F178="","",ROUND($F178*(1+IF($G178="",0,$G178)),2))</f>
        <v/>
      </c>
      <c r="J178" s="69" t="n"/>
      <c r="K178" s="86">
        <f>IF($B178="","",MONTH($B178))</f>
        <v/>
      </c>
      <c r="L178" s="2" t="n"/>
      <c r="M178" s="2" t="n"/>
      <c r="N178" s="2" t="n"/>
      <c r="O178" s="2" t="n"/>
      <c r="P178" s="2" t="n"/>
    </row>
    <row r="179">
      <c r="A179" s="2" t="n"/>
      <c r="B179" s="84" t="n"/>
      <c r="C179" s="78" t="n"/>
      <c r="D179" s="78" t="n"/>
      <c r="E179" s="78" t="n"/>
      <c r="F179" s="73" t="n"/>
      <c r="G179" s="77" t="n"/>
      <c r="H179" s="87">
        <f>IF(OR($F179="",$G179=""),"",ROUND($F179*$G179,2))</f>
        <v/>
      </c>
      <c r="I179" s="87">
        <f>IF($F179="","",ROUND($F179*(1+IF($G179="",0,$G179)),2))</f>
        <v/>
      </c>
      <c r="J179" s="69" t="n"/>
      <c r="K179" s="88">
        <f>IF($B179="","",MONTH($B179))</f>
        <v/>
      </c>
      <c r="L179" s="2" t="n"/>
      <c r="M179" s="2" t="n"/>
      <c r="N179" s="2" t="n"/>
      <c r="O179" s="2" t="n"/>
      <c r="P179" s="2" t="n"/>
    </row>
    <row r="180">
      <c r="A180" s="2" t="n"/>
      <c r="B180" s="84" t="n"/>
      <c r="C180" s="78" t="n"/>
      <c r="D180" s="78" t="n"/>
      <c r="E180" s="78" t="n"/>
      <c r="F180" s="73" t="n"/>
      <c r="G180" s="77" t="n"/>
      <c r="H180" s="85">
        <f>IF(OR($F180="",$G180=""),"",ROUND($F180*$G180,2))</f>
        <v/>
      </c>
      <c r="I180" s="85">
        <f>IF($F180="","",ROUND($F180*(1+IF($G180="",0,$G180)),2))</f>
        <v/>
      </c>
      <c r="J180" s="69" t="n"/>
      <c r="K180" s="86">
        <f>IF($B180="","",MONTH($B180))</f>
        <v/>
      </c>
      <c r="L180" s="2" t="n"/>
      <c r="M180" s="2" t="n"/>
      <c r="N180" s="2" t="n"/>
      <c r="O180" s="2" t="n"/>
      <c r="P180" s="2" t="n"/>
    </row>
    <row r="181">
      <c r="A181" s="2" t="n"/>
      <c r="B181" s="84" t="n"/>
      <c r="C181" s="78" t="n"/>
      <c r="D181" s="78" t="n"/>
      <c r="E181" s="78" t="n"/>
      <c r="F181" s="73" t="n"/>
      <c r="G181" s="77" t="n"/>
      <c r="H181" s="87">
        <f>IF(OR($F181="",$G181=""),"",ROUND($F181*$G181,2))</f>
        <v/>
      </c>
      <c r="I181" s="87">
        <f>IF($F181="","",ROUND($F181*(1+IF($G181="",0,$G181)),2))</f>
        <v/>
      </c>
      <c r="J181" s="69" t="n"/>
      <c r="K181" s="88">
        <f>IF($B181="","",MONTH($B181))</f>
        <v/>
      </c>
      <c r="L181" s="2" t="n"/>
      <c r="M181" s="2" t="n"/>
      <c r="N181" s="2" t="n"/>
      <c r="O181" s="2" t="n"/>
      <c r="P181" s="2" t="n"/>
    </row>
    <row r="182">
      <c r="A182" s="2" t="n"/>
      <c r="B182" s="84" t="n"/>
      <c r="C182" s="78" t="n"/>
      <c r="D182" s="78" t="n"/>
      <c r="E182" s="78" t="n"/>
      <c r="F182" s="73" t="n"/>
      <c r="G182" s="77" t="n"/>
      <c r="H182" s="85">
        <f>IF(OR($F182="",$G182=""),"",ROUND($F182*$G182,2))</f>
        <v/>
      </c>
      <c r="I182" s="85">
        <f>IF($F182="","",ROUND($F182*(1+IF($G182="",0,$G182)),2))</f>
        <v/>
      </c>
      <c r="J182" s="69" t="n"/>
      <c r="K182" s="86">
        <f>IF($B182="","",MONTH($B182))</f>
        <v/>
      </c>
      <c r="L182" s="2" t="n"/>
      <c r="M182" s="2" t="n"/>
      <c r="N182" s="2" t="n"/>
      <c r="O182" s="2" t="n"/>
      <c r="P182" s="2" t="n"/>
    </row>
    <row r="183">
      <c r="A183" s="2" t="n"/>
      <c r="B183" s="84" t="n"/>
      <c r="C183" s="78" t="n"/>
      <c r="D183" s="78" t="n"/>
      <c r="E183" s="78" t="n"/>
      <c r="F183" s="73" t="n"/>
      <c r="G183" s="77" t="n"/>
      <c r="H183" s="87">
        <f>IF(OR($F183="",$G183=""),"",ROUND($F183*$G183,2))</f>
        <v/>
      </c>
      <c r="I183" s="87">
        <f>IF($F183="","",ROUND($F183*(1+IF($G183="",0,$G183)),2))</f>
        <v/>
      </c>
      <c r="J183" s="69" t="n"/>
      <c r="K183" s="88">
        <f>IF($B183="","",MONTH($B183))</f>
        <v/>
      </c>
      <c r="L183" s="2" t="n"/>
      <c r="M183" s="2" t="n"/>
      <c r="N183" s="2" t="n"/>
      <c r="O183" s="2" t="n"/>
      <c r="P183" s="2" t="n"/>
    </row>
    <row r="184">
      <c r="A184" s="2" t="n"/>
      <c r="B184" s="84" t="n"/>
      <c r="C184" s="78" t="n"/>
      <c r="D184" s="78" t="n"/>
      <c r="E184" s="78" t="n"/>
      <c r="F184" s="73" t="n"/>
      <c r="G184" s="77" t="n"/>
      <c r="H184" s="85">
        <f>IF(OR($F184="",$G184=""),"",ROUND($F184*$G184,2))</f>
        <v/>
      </c>
      <c r="I184" s="85">
        <f>IF($F184="","",ROUND($F184*(1+IF($G184="",0,$G184)),2))</f>
        <v/>
      </c>
      <c r="J184" s="69" t="n"/>
      <c r="K184" s="86">
        <f>IF($B184="","",MONTH($B184))</f>
        <v/>
      </c>
      <c r="L184" s="2" t="n"/>
      <c r="M184" s="2" t="n"/>
      <c r="N184" s="2" t="n"/>
      <c r="O184" s="2" t="n"/>
      <c r="P184" s="2" t="n"/>
    </row>
    <row r="185">
      <c r="A185" s="2" t="n"/>
      <c r="B185" s="84" t="n"/>
      <c r="C185" s="78" t="n"/>
      <c r="D185" s="78" t="n"/>
      <c r="E185" s="78" t="n"/>
      <c r="F185" s="73" t="n"/>
      <c r="G185" s="77" t="n"/>
      <c r="H185" s="87">
        <f>IF(OR($F185="",$G185=""),"",ROUND($F185*$G185,2))</f>
        <v/>
      </c>
      <c r="I185" s="87">
        <f>IF($F185="","",ROUND($F185*(1+IF($G185="",0,$G185)),2))</f>
        <v/>
      </c>
      <c r="J185" s="69" t="n"/>
      <c r="K185" s="88">
        <f>IF($B185="","",MONTH($B185))</f>
        <v/>
      </c>
      <c r="L185" s="2" t="n"/>
      <c r="M185" s="2" t="n"/>
      <c r="N185" s="2" t="n"/>
      <c r="O185" s="2" t="n"/>
      <c r="P185" s="2" t="n"/>
    </row>
    <row r="186">
      <c r="A186" s="2" t="n"/>
      <c r="B186" s="84" t="n"/>
      <c r="C186" s="78" t="n"/>
      <c r="D186" s="78" t="n"/>
      <c r="E186" s="78" t="n"/>
      <c r="F186" s="73" t="n"/>
      <c r="G186" s="77" t="n"/>
      <c r="H186" s="85">
        <f>IF(OR($F186="",$G186=""),"",ROUND($F186*$G186,2))</f>
        <v/>
      </c>
      <c r="I186" s="85">
        <f>IF($F186="","",ROUND($F186*(1+IF($G186="",0,$G186)),2))</f>
        <v/>
      </c>
      <c r="J186" s="69" t="n"/>
      <c r="K186" s="86">
        <f>IF($B186="","",MONTH($B186))</f>
        <v/>
      </c>
      <c r="L186" s="2" t="n"/>
      <c r="M186" s="2" t="n"/>
      <c r="N186" s="2" t="n"/>
      <c r="O186" s="2" t="n"/>
      <c r="P186" s="2" t="n"/>
    </row>
    <row r="187">
      <c r="A187" s="2" t="n"/>
      <c r="B187" s="84" t="n"/>
      <c r="C187" s="78" t="n"/>
      <c r="D187" s="78" t="n"/>
      <c r="E187" s="78" t="n"/>
      <c r="F187" s="73" t="n"/>
      <c r="G187" s="77" t="n"/>
      <c r="H187" s="87">
        <f>IF(OR($F187="",$G187=""),"",ROUND($F187*$G187,2))</f>
        <v/>
      </c>
      <c r="I187" s="87">
        <f>IF($F187="","",ROUND($F187*(1+IF($G187="",0,$G187)),2))</f>
        <v/>
      </c>
      <c r="J187" s="69" t="n"/>
      <c r="K187" s="88">
        <f>IF($B187="","",MONTH($B187))</f>
        <v/>
      </c>
      <c r="L187" s="2" t="n"/>
      <c r="M187" s="2" t="n"/>
      <c r="N187" s="2" t="n"/>
      <c r="O187" s="2" t="n"/>
      <c r="P187" s="2" t="n"/>
    </row>
    <row r="188">
      <c r="A188" s="2" t="n"/>
      <c r="B188" s="84" t="n"/>
      <c r="C188" s="78" t="n"/>
      <c r="D188" s="78" t="n"/>
      <c r="E188" s="78" t="n"/>
      <c r="F188" s="73" t="n"/>
      <c r="G188" s="77" t="n"/>
      <c r="H188" s="85">
        <f>IF(OR($F188="",$G188=""),"",ROUND($F188*$G188,2))</f>
        <v/>
      </c>
      <c r="I188" s="85">
        <f>IF($F188="","",ROUND($F188*(1+IF($G188="",0,$G188)),2))</f>
        <v/>
      </c>
      <c r="J188" s="69" t="n"/>
      <c r="K188" s="86">
        <f>IF($B188="","",MONTH($B188))</f>
        <v/>
      </c>
      <c r="L188" s="2" t="n"/>
      <c r="M188" s="2" t="n"/>
      <c r="N188" s="2" t="n"/>
      <c r="O188" s="2" t="n"/>
      <c r="P188" s="2" t="n"/>
    </row>
    <row r="189">
      <c r="A189" s="2" t="n"/>
      <c r="B189" s="84" t="n"/>
      <c r="C189" s="78" t="n"/>
      <c r="D189" s="78" t="n"/>
      <c r="E189" s="78" t="n"/>
      <c r="F189" s="73" t="n"/>
      <c r="G189" s="77" t="n"/>
      <c r="H189" s="87">
        <f>IF(OR($F189="",$G189=""),"",ROUND($F189*$G189,2))</f>
        <v/>
      </c>
      <c r="I189" s="87">
        <f>IF($F189="","",ROUND($F189*(1+IF($G189="",0,$G189)),2))</f>
        <v/>
      </c>
      <c r="J189" s="69" t="n"/>
      <c r="K189" s="88">
        <f>IF($B189="","",MONTH($B189))</f>
        <v/>
      </c>
      <c r="L189" s="2" t="n"/>
      <c r="M189" s="2" t="n"/>
      <c r="N189" s="2" t="n"/>
      <c r="O189" s="2" t="n"/>
      <c r="P189" s="2" t="n"/>
    </row>
    <row r="190">
      <c r="A190" s="2" t="n"/>
      <c r="B190" s="84" t="n"/>
      <c r="C190" s="78" t="n"/>
      <c r="D190" s="78" t="n"/>
      <c r="E190" s="78" t="n"/>
      <c r="F190" s="73" t="n"/>
      <c r="G190" s="77" t="n"/>
      <c r="H190" s="85">
        <f>IF(OR($F190="",$G190=""),"",ROUND($F190*$G190,2))</f>
        <v/>
      </c>
      <c r="I190" s="85">
        <f>IF($F190="","",ROUND($F190*(1+IF($G190="",0,$G190)),2))</f>
        <v/>
      </c>
      <c r="J190" s="69" t="n"/>
      <c r="K190" s="86">
        <f>IF($B190="","",MONTH($B190))</f>
        <v/>
      </c>
      <c r="L190" s="2" t="n"/>
      <c r="M190" s="2" t="n"/>
      <c r="N190" s="2" t="n"/>
      <c r="O190" s="2" t="n"/>
      <c r="P190" s="2" t="n"/>
    </row>
    <row r="191">
      <c r="A191" s="2" t="n"/>
      <c r="B191" s="84" t="n"/>
      <c r="C191" s="78" t="n"/>
      <c r="D191" s="78" t="n"/>
      <c r="E191" s="78" t="n"/>
      <c r="F191" s="73" t="n"/>
      <c r="G191" s="77" t="n"/>
      <c r="H191" s="87">
        <f>IF(OR($F191="",$G191=""),"",ROUND($F191*$G191,2))</f>
        <v/>
      </c>
      <c r="I191" s="87">
        <f>IF($F191="","",ROUND($F191*(1+IF($G191="",0,$G191)),2))</f>
        <v/>
      </c>
      <c r="J191" s="69" t="n"/>
      <c r="K191" s="88">
        <f>IF($B191="","",MONTH($B191))</f>
        <v/>
      </c>
      <c r="L191" s="2" t="n"/>
      <c r="M191" s="2" t="n"/>
      <c r="N191" s="2" t="n"/>
      <c r="O191" s="2" t="n"/>
      <c r="P191" s="2" t="n"/>
    </row>
    <row r="192">
      <c r="A192" s="2" t="n"/>
      <c r="B192" s="84" t="n"/>
      <c r="C192" s="78" t="n"/>
      <c r="D192" s="78" t="n"/>
      <c r="E192" s="78" t="n"/>
      <c r="F192" s="73" t="n"/>
      <c r="G192" s="77" t="n"/>
      <c r="H192" s="85">
        <f>IF(OR($F192="",$G192=""),"",ROUND($F192*$G192,2))</f>
        <v/>
      </c>
      <c r="I192" s="85">
        <f>IF($F192="","",ROUND($F192*(1+IF($G192="",0,$G192)),2))</f>
        <v/>
      </c>
      <c r="J192" s="69" t="n"/>
      <c r="K192" s="86">
        <f>IF($B192="","",MONTH($B192))</f>
        <v/>
      </c>
      <c r="L192" s="2" t="n"/>
      <c r="M192" s="2" t="n"/>
      <c r="N192" s="2" t="n"/>
      <c r="O192" s="2" t="n"/>
      <c r="P192" s="2" t="n"/>
    </row>
    <row r="193">
      <c r="A193" s="2" t="n"/>
      <c r="B193" s="84" t="n"/>
      <c r="C193" s="78" t="n"/>
      <c r="D193" s="78" t="n"/>
      <c r="E193" s="78" t="n"/>
      <c r="F193" s="73" t="n"/>
      <c r="G193" s="77" t="n"/>
      <c r="H193" s="87">
        <f>IF(OR($F193="",$G193=""),"",ROUND($F193*$G193,2))</f>
        <v/>
      </c>
      <c r="I193" s="87">
        <f>IF($F193="","",ROUND($F193*(1+IF($G193="",0,$G193)),2))</f>
        <v/>
      </c>
      <c r="J193" s="69" t="n"/>
      <c r="K193" s="88">
        <f>IF($B193="","",MONTH($B193))</f>
        <v/>
      </c>
      <c r="L193" s="2" t="n"/>
      <c r="M193" s="2" t="n"/>
      <c r="N193" s="2" t="n"/>
      <c r="O193" s="2" t="n"/>
      <c r="P193" s="2" t="n"/>
    </row>
    <row r="194">
      <c r="A194" s="2" t="n"/>
      <c r="B194" s="84" t="n"/>
      <c r="C194" s="78" t="n"/>
      <c r="D194" s="78" t="n"/>
      <c r="E194" s="78" t="n"/>
      <c r="F194" s="73" t="n"/>
      <c r="G194" s="77" t="n"/>
      <c r="H194" s="85">
        <f>IF(OR($F194="",$G194=""),"",ROUND($F194*$G194,2))</f>
        <v/>
      </c>
      <c r="I194" s="85">
        <f>IF($F194="","",ROUND($F194*(1+IF($G194="",0,$G194)),2))</f>
        <v/>
      </c>
      <c r="J194" s="69" t="n"/>
      <c r="K194" s="86">
        <f>IF($B194="","",MONTH($B194))</f>
        <v/>
      </c>
      <c r="L194" s="2" t="n"/>
      <c r="M194" s="2" t="n"/>
      <c r="N194" s="2" t="n"/>
      <c r="O194" s="2" t="n"/>
      <c r="P194" s="2" t="n"/>
    </row>
    <row r="195">
      <c r="A195" s="2" t="n"/>
      <c r="B195" s="84" t="n"/>
      <c r="C195" s="78" t="n"/>
      <c r="D195" s="78" t="n"/>
      <c r="E195" s="78" t="n"/>
      <c r="F195" s="73" t="n"/>
      <c r="G195" s="77" t="n"/>
      <c r="H195" s="87">
        <f>IF(OR($F195="",$G195=""),"",ROUND($F195*$G195,2))</f>
        <v/>
      </c>
      <c r="I195" s="87">
        <f>IF($F195="","",ROUND($F195*(1+IF($G195="",0,$G195)),2))</f>
        <v/>
      </c>
      <c r="J195" s="69" t="n"/>
      <c r="K195" s="88">
        <f>IF($B195="","",MONTH($B195))</f>
        <v/>
      </c>
      <c r="L195" s="2" t="n"/>
      <c r="M195" s="2" t="n"/>
      <c r="N195" s="2" t="n"/>
      <c r="O195" s="2" t="n"/>
      <c r="P195" s="2" t="n"/>
    </row>
    <row r="196">
      <c r="A196" s="2" t="n"/>
      <c r="B196" s="84" t="n"/>
      <c r="C196" s="78" t="n"/>
      <c r="D196" s="78" t="n"/>
      <c r="E196" s="78" t="n"/>
      <c r="F196" s="73" t="n"/>
      <c r="G196" s="77" t="n"/>
      <c r="H196" s="85">
        <f>IF(OR($F196="",$G196=""),"",ROUND($F196*$G196,2))</f>
        <v/>
      </c>
      <c r="I196" s="85">
        <f>IF($F196="","",ROUND($F196*(1+IF($G196="",0,$G196)),2))</f>
        <v/>
      </c>
      <c r="J196" s="69" t="n"/>
      <c r="K196" s="86">
        <f>IF($B196="","",MONTH($B196))</f>
        <v/>
      </c>
      <c r="L196" s="2" t="n"/>
      <c r="M196" s="2" t="n"/>
      <c r="N196" s="2" t="n"/>
      <c r="O196" s="2" t="n"/>
      <c r="P196" s="2" t="n"/>
    </row>
    <row r="197">
      <c r="A197" s="2" t="n"/>
      <c r="B197" s="84" t="n"/>
      <c r="C197" s="78" t="n"/>
      <c r="D197" s="78" t="n"/>
      <c r="E197" s="78" t="n"/>
      <c r="F197" s="73" t="n"/>
      <c r="G197" s="77" t="n"/>
      <c r="H197" s="87">
        <f>IF(OR($F197="",$G197=""),"",ROUND($F197*$G197,2))</f>
        <v/>
      </c>
      <c r="I197" s="87">
        <f>IF($F197="","",ROUND($F197*(1+IF($G197="",0,$G197)),2))</f>
        <v/>
      </c>
      <c r="J197" s="69" t="n"/>
      <c r="K197" s="88">
        <f>IF($B197="","",MONTH($B197))</f>
        <v/>
      </c>
      <c r="L197" s="2" t="n"/>
      <c r="M197" s="2" t="n"/>
      <c r="N197" s="2" t="n"/>
      <c r="O197" s="2" t="n"/>
      <c r="P197" s="2" t="n"/>
    </row>
    <row r="198">
      <c r="A198" s="2" t="n"/>
      <c r="B198" s="84" t="n"/>
      <c r="C198" s="78" t="n"/>
      <c r="D198" s="78" t="n"/>
      <c r="E198" s="78" t="n"/>
      <c r="F198" s="73" t="n"/>
      <c r="G198" s="77" t="n"/>
      <c r="H198" s="85">
        <f>IF(OR($F198="",$G198=""),"",ROUND($F198*$G198,2))</f>
        <v/>
      </c>
      <c r="I198" s="85">
        <f>IF($F198="","",ROUND($F198*(1+IF($G198="",0,$G198)),2))</f>
        <v/>
      </c>
      <c r="J198" s="69" t="n"/>
      <c r="K198" s="86">
        <f>IF($B198="","",MONTH($B198))</f>
        <v/>
      </c>
      <c r="L198" s="2" t="n"/>
      <c r="M198" s="2" t="n"/>
      <c r="N198" s="2" t="n"/>
      <c r="O198" s="2" t="n"/>
      <c r="P198" s="2" t="n"/>
    </row>
    <row r="199">
      <c r="A199" s="2" t="n"/>
      <c r="B199" s="84" t="n"/>
      <c r="C199" s="78" t="n"/>
      <c r="D199" s="78" t="n"/>
      <c r="E199" s="78" t="n"/>
      <c r="F199" s="73" t="n"/>
      <c r="G199" s="77" t="n"/>
      <c r="H199" s="87">
        <f>IF(OR($F199="",$G199=""),"",ROUND($F199*$G199,2))</f>
        <v/>
      </c>
      <c r="I199" s="87">
        <f>IF($F199="","",ROUND($F199*(1+IF($G199="",0,$G199)),2))</f>
        <v/>
      </c>
      <c r="J199" s="69" t="n"/>
      <c r="K199" s="88">
        <f>IF($B199="","",MONTH($B199))</f>
        <v/>
      </c>
      <c r="L199" s="2" t="n"/>
      <c r="M199" s="2" t="n"/>
      <c r="N199" s="2" t="n"/>
      <c r="O199" s="2" t="n"/>
      <c r="P199" s="2" t="n"/>
    </row>
    <row r="200">
      <c r="A200" s="2" t="n"/>
      <c r="B200" s="84" t="n"/>
      <c r="C200" s="78" t="n"/>
      <c r="D200" s="78" t="n"/>
      <c r="E200" s="78" t="n"/>
      <c r="F200" s="73" t="n"/>
      <c r="G200" s="77" t="n"/>
      <c r="H200" s="85">
        <f>IF(OR($F200="",$G200=""),"",ROUND($F200*$G200,2))</f>
        <v/>
      </c>
      <c r="I200" s="85">
        <f>IF($F200="","",ROUND($F200*(1+IF($G200="",0,$G200)),2))</f>
        <v/>
      </c>
      <c r="J200" s="69" t="n"/>
      <c r="K200" s="86">
        <f>IF($B200="","",MONTH($B200))</f>
        <v/>
      </c>
      <c r="L200" s="2" t="n"/>
      <c r="M200" s="2" t="n"/>
      <c r="N200" s="2" t="n"/>
      <c r="O200" s="2" t="n"/>
      <c r="P200" s="2" t="n"/>
    </row>
    <row r="201">
      <c r="A201" s="2" t="n"/>
      <c r="B201" s="84" t="n"/>
      <c r="C201" s="78" t="n"/>
      <c r="D201" s="78" t="n"/>
      <c r="E201" s="78" t="n"/>
      <c r="F201" s="73" t="n"/>
      <c r="G201" s="77" t="n"/>
      <c r="H201" s="87">
        <f>IF(OR($F201="",$G201=""),"",ROUND($F201*$G201,2))</f>
        <v/>
      </c>
      <c r="I201" s="87">
        <f>IF($F201="","",ROUND($F201*(1+IF($G201="",0,$G201)),2))</f>
        <v/>
      </c>
      <c r="J201" s="69" t="n"/>
      <c r="K201" s="88">
        <f>IF($B201="","",MONTH($B201))</f>
        <v/>
      </c>
      <c r="L201" s="2" t="n"/>
      <c r="M201" s="2" t="n"/>
      <c r="N201" s="2" t="n"/>
      <c r="O201" s="2" t="n"/>
      <c r="P201" s="2" t="n"/>
    </row>
    <row r="202">
      <c r="A202" s="2" t="n"/>
      <c r="B202" s="84" t="n"/>
      <c r="C202" s="78" t="n"/>
      <c r="D202" s="78" t="n"/>
      <c r="E202" s="78" t="n"/>
      <c r="F202" s="73" t="n"/>
      <c r="G202" s="77" t="n"/>
      <c r="H202" s="85">
        <f>IF(OR($F202="",$G202=""),"",ROUND($F202*$G202,2))</f>
        <v/>
      </c>
      <c r="I202" s="85">
        <f>IF($F202="","",ROUND($F202*(1+IF($G202="",0,$G202)),2))</f>
        <v/>
      </c>
      <c r="J202" s="69" t="n"/>
      <c r="K202" s="86">
        <f>IF($B202="","",MONTH($B202))</f>
        <v/>
      </c>
      <c r="L202" s="2" t="n"/>
      <c r="M202" s="2" t="n"/>
      <c r="N202" s="2" t="n"/>
      <c r="O202" s="2" t="n"/>
      <c r="P202" s="2" t="n"/>
    </row>
    <row r="203">
      <c r="A203" s="2" t="n"/>
      <c r="B203" s="84" t="n"/>
      <c r="C203" s="78" t="n"/>
      <c r="D203" s="78" t="n"/>
      <c r="E203" s="78" t="n"/>
      <c r="F203" s="73" t="n"/>
      <c r="G203" s="77" t="n"/>
      <c r="H203" s="87">
        <f>IF(OR($F203="",$G203=""),"",ROUND($F203*$G203,2))</f>
        <v/>
      </c>
      <c r="I203" s="87">
        <f>IF($F203="","",ROUND($F203*(1+IF($G203="",0,$G203)),2))</f>
        <v/>
      </c>
      <c r="J203" s="69" t="n"/>
      <c r="K203" s="88">
        <f>IF($B203="","",MONTH($B203))</f>
        <v/>
      </c>
      <c r="L203" s="2" t="n"/>
      <c r="M203" s="2" t="n"/>
      <c r="N203" s="2" t="n"/>
      <c r="O203" s="2" t="n"/>
      <c r="P203" s="2" t="n"/>
    </row>
    <row r="204">
      <c r="A204" s="2" t="n"/>
      <c r="B204" s="84" t="n"/>
      <c r="C204" s="78" t="n"/>
      <c r="D204" s="78" t="n"/>
      <c r="E204" s="78" t="n"/>
      <c r="F204" s="73" t="n"/>
      <c r="G204" s="77" t="n"/>
      <c r="H204" s="85">
        <f>IF(OR($F204="",$G204=""),"",ROUND($F204*$G204,2))</f>
        <v/>
      </c>
      <c r="I204" s="85">
        <f>IF($F204="","",ROUND($F204*(1+IF($G204="",0,$G204)),2))</f>
        <v/>
      </c>
      <c r="J204" s="69" t="n"/>
      <c r="K204" s="86">
        <f>IF($B204="","",MONTH($B204))</f>
        <v/>
      </c>
      <c r="L204" s="2" t="n"/>
      <c r="M204" s="2" t="n"/>
      <c r="N204" s="2" t="n"/>
      <c r="O204" s="2" t="n"/>
      <c r="P204" s="2" t="n"/>
    </row>
    <row r="205">
      <c r="A205" s="2" t="n"/>
      <c r="B205" s="84" t="n"/>
      <c r="C205" s="78" t="n"/>
      <c r="D205" s="78" t="n"/>
      <c r="E205" s="78" t="n"/>
      <c r="F205" s="73" t="n"/>
      <c r="G205" s="77" t="n"/>
      <c r="H205" s="87">
        <f>IF(OR($F205="",$G205=""),"",ROUND($F205*$G205,2))</f>
        <v/>
      </c>
      <c r="I205" s="87">
        <f>IF($F205="","",ROUND($F205*(1+IF($G205="",0,$G205)),2))</f>
        <v/>
      </c>
      <c r="J205" s="69" t="n"/>
      <c r="K205" s="88">
        <f>IF($B205="","",MONTH($B205))</f>
        <v/>
      </c>
      <c r="L205" s="2" t="n"/>
      <c r="M205" s="2" t="n"/>
      <c r="N205" s="2" t="n"/>
      <c r="O205" s="2" t="n"/>
      <c r="P205" s="2" t="n"/>
    </row>
    <row r="206">
      <c r="A206" s="2" t="n"/>
      <c r="B206" s="84" t="n"/>
      <c r="C206" s="78" t="n"/>
      <c r="D206" s="78" t="n"/>
      <c r="E206" s="78" t="n"/>
      <c r="F206" s="73" t="n"/>
      <c r="G206" s="77" t="n"/>
      <c r="H206" s="85">
        <f>IF(OR($F206="",$G206=""),"",ROUND($F206*$G206,2))</f>
        <v/>
      </c>
      <c r="I206" s="85">
        <f>IF($F206="","",ROUND($F206*(1+IF($G206="",0,$G206)),2))</f>
        <v/>
      </c>
      <c r="J206" s="69" t="n"/>
      <c r="K206" s="86">
        <f>IF($B206="","",MONTH($B206))</f>
        <v/>
      </c>
      <c r="L206" s="2" t="n"/>
      <c r="M206" s="2" t="n"/>
      <c r="N206" s="2" t="n"/>
      <c r="O206" s="2" t="n"/>
      <c r="P206" s="2" t="n"/>
    </row>
    <row r="207">
      <c r="A207" s="2" t="n"/>
      <c r="B207" s="84" t="n"/>
      <c r="C207" s="78" t="n"/>
      <c r="D207" s="78" t="n"/>
      <c r="E207" s="78" t="n"/>
      <c r="F207" s="73" t="n"/>
      <c r="G207" s="77" t="n"/>
      <c r="H207" s="87">
        <f>IF(OR($F207="",$G207=""),"",ROUND($F207*$G207,2))</f>
        <v/>
      </c>
      <c r="I207" s="87">
        <f>IF($F207="","",ROUND($F207*(1+IF($G207="",0,$G207)),2))</f>
        <v/>
      </c>
      <c r="J207" s="69" t="n"/>
      <c r="K207" s="88">
        <f>IF($B207="","",MONTH($B207))</f>
        <v/>
      </c>
      <c r="L207" s="2" t="n"/>
      <c r="M207" s="2" t="n"/>
      <c r="N207" s="2" t="n"/>
      <c r="O207" s="2" t="n"/>
      <c r="P207" s="2" t="n"/>
    </row>
    <row r="208">
      <c r="A208" s="2" t="n"/>
      <c r="B208" s="84" t="n"/>
      <c r="C208" s="78" t="n"/>
      <c r="D208" s="78" t="n"/>
      <c r="E208" s="78" t="n"/>
      <c r="F208" s="73" t="n"/>
      <c r="G208" s="77" t="n"/>
      <c r="H208" s="85">
        <f>IF(OR($F208="",$G208=""),"",ROUND($F208*$G208,2))</f>
        <v/>
      </c>
      <c r="I208" s="85">
        <f>IF($F208="","",ROUND($F208*(1+IF($G208="",0,$G208)),2))</f>
        <v/>
      </c>
      <c r="J208" s="69" t="n"/>
      <c r="K208" s="86">
        <f>IF($B208="","",MONTH($B208))</f>
        <v/>
      </c>
      <c r="L208" s="2" t="n"/>
      <c r="M208" s="2" t="n"/>
      <c r="N208" s="2" t="n"/>
      <c r="O208" s="2" t="n"/>
      <c r="P208" s="2" t="n"/>
    </row>
    <row r="209">
      <c r="A209" s="2" t="n"/>
      <c r="B209" s="84" t="n"/>
      <c r="C209" s="78" t="n"/>
      <c r="D209" s="78" t="n"/>
      <c r="E209" s="78" t="n"/>
      <c r="F209" s="73" t="n"/>
      <c r="G209" s="77" t="n"/>
      <c r="H209" s="87">
        <f>IF(OR($F209="",$G209=""),"",ROUND($F209*$G209,2))</f>
        <v/>
      </c>
      <c r="I209" s="87">
        <f>IF($F209="","",ROUND($F209*(1+IF($G209="",0,$G209)),2))</f>
        <v/>
      </c>
      <c r="J209" s="69" t="n"/>
      <c r="K209" s="88">
        <f>IF($B209="","",MONTH($B209))</f>
        <v/>
      </c>
      <c r="L209" s="2" t="n"/>
      <c r="M209" s="2" t="n"/>
      <c r="N209" s="2" t="n"/>
      <c r="O209" s="2" t="n"/>
      <c r="P209" s="2" t="n"/>
    </row>
    <row r="210">
      <c r="A210" s="2" t="n"/>
      <c r="B210" s="84" t="n"/>
      <c r="C210" s="78" t="n"/>
      <c r="D210" s="78" t="n"/>
      <c r="E210" s="78" t="n"/>
      <c r="F210" s="73" t="n"/>
      <c r="G210" s="77" t="n"/>
      <c r="H210" s="85">
        <f>IF(OR($F210="",$G210=""),"",ROUND($F210*$G210,2))</f>
        <v/>
      </c>
      <c r="I210" s="85">
        <f>IF($F210="","",ROUND($F210*(1+IF($G210="",0,$G210)),2))</f>
        <v/>
      </c>
      <c r="J210" s="69" t="n"/>
      <c r="K210" s="86">
        <f>IF($B210="","",MONTH($B210))</f>
        <v/>
      </c>
      <c r="L210" s="2" t="n"/>
      <c r="M210" s="2" t="n"/>
      <c r="N210" s="2" t="n"/>
      <c r="O210" s="2" t="n"/>
      <c r="P210" s="2" t="n"/>
    </row>
    <row r="211">
      <c r="A211" s="2" t="n"/>
      <c r="B211" s="84" t="n"/>
      <c r="C211" s="78" t="n"/>
      <c r="D211" s="78" t="n"/>
      <c r="E211" s="78" t="n"/>
      <c r="F211" s="73" t="n"/>
      <c r="G211" s="77" t="n"/>
      <c r="H211" s="87">
        <f>IF(OR($F211="",$G211=""),"",ROUND($F211*$G211,2))</f>
        <v/>
      </c>
      <c r="I211" s="87">
        <f>IF($F211="","",ROUND($F211*(1+IF($G211="",0,$G211)),2))</f>
        <v/>
      </c>
      <c r="J211" s="69" t="n"/>
      <c r="K211" s="88">
        <f>IF($B211="","",MONTH($B211))</f>
        <v/>
      </c>
      <c r="L211" s="2" t="n"/>
      <c r="M211" s="2" t="n"/>
      <c r="N211" s="2" t="n"/>
      <c r="O211" s="2" t="n"/>
      <c r="P211" s="2" t="n"/>
    </row>
    <row r="212">
      <c r="A212" s="2" t="n"/>
      <c r="B212" s="84" t="n"/>
      <c r="C212" s="78" t="n"/>
      <c r="D212" s="78" t="n"/>
      <c r="E212" s="78" t="n"/>
      <c r="F212" s="73" t="n"/>
      <c r="G212" s="77" t="n"/>
      <c r="H212" s="85">
        <f>IF(OR($F212="",$G212=""),"",ROUND($F212*$G212,2))</f>
        <v/>
      </c>
      <c r="I212" s="85">
        <f>IF($F212="","",ROUND($F212*(1+IF($G212="",0,$G212)),2))</f>
        <v/>
      </c>
      <c r="J212" s="69" t="n"/>
      <c r="K212" s="86">
        <f>IF($B212="","",MONTH($B212))</f>
        <v/>
      </c>
      <c r="L212" s="2" t="n"/>
      <c r="M212" s="2" t="n"/>
      <c r="N212" s="2" t="n"/>
      <c r="O212" s="2" t="n"/>
      <c r="P212" s="2" t="n"/>
    </row>
    <row r="213">
      <c r="A213" s="2" t="n"/>
      <c r="B213" s="84" t="n"/>
      <c r="C213" s="78" t="n"/>
      <c r="D213" s="78" t="n"/>
      <c r="E213" s="78" t="n"/>
      <c r="F213" s="73" t="n"/>
      <c r="G213" s="77" t="n"/>
      <c r="H213" s="87">
        <f>IF(OR($F213="",$G213=""),"",ROUND($F213*$G213,2))</f>
        <v/>
      </c>
      <c r="I213" s="87">
        <f>IF($F213="","",ROUND($F213*(1+IF($G213="",0,$G213)),2))</f>
        <v/>
      </c>
      <c r="J213" s="69" t="n"/>
      <c r="K213" s="88">
        <f>IF($B213="","",MONTH($B213))</f>
        <v/>
      </c>
      <c r="L213" s="2" t="n"/>
      <c r="M213" s="2" t="n"/>
      <c r="N213" s="2" t="n"/>
      <c r="O213" s="2" t="n"/>
      <c r="P213" s="2" t="n"/>
    </row>
    <row r="214">
      <c r="A214" s="2" t="n"/>
      <c r="B214" s="84" t="n"/>
      <c r="C214" s="78" t="n"/>
      <c r="D214" s="78" t="n"/>
      <c r="E214" s="78" t="n"/>
      <c r="F214" s="73" t="n"/>
      <c r="G214" s="77" t="n"/>
      <c r="H214" s="85">
        <f>IF(OR($F214="",$G214=""),"",ROUND($F214*$G214,2))</f>
        <v/>
      </c>
      <c r="I214" s="85">
        <f>IF($F214="","",ROUND($F214*(1+IF($G214="",0,$G214)),2))</f>
        <v/>
      </c>
      <c r="J214" s="69" t="n"/>
      <c r="K214" s="86">
        <f>IF($B214="","",MONTH($B214))</f>
        <v/>
      </c>
      <c r="L214" s="2" t="n"/>
      <c r="M214" s="2" t="n"/>
      <c r="N214" s="2" t="n"/>
      <c r="O214" s="2" t="n"/>
      <c r="P214" s="2" t="n"/>
    </row>
    <row r="215">
      <c r="A215" s="2" t="n"/>
      <c r="B215" s="84" t="n"/>
      <c r="C215" s="78" t="n"/>
      <c r="D215" s="78" t="n"/>
      <c r="E215" s="78" t="n"/>
      <c r="F215" s="73" t="n"/>
      <c r="G215" s="77" t="n"/>
      <c r="H215" s="87">
        <f>IF(OR($F215="",$G215=""),"",ROUND($F215*$G215,2))</f>
        <v/>
      </c>
      <c r="I215" s="87">
        <f>IF($F215="","",ROUND($F215*(1+IF($G215="",0,$G215)),2))</f>
        <v/>
      </c>
      <c r="J215" s="69" t="n"/>
      <c r="K215" s="88">
        <f>IF($B215="","",MONTH($B215))</f>
        <v/>
      </c>
      <c r="L215" s="2" t="n"/>
      <c r="M215" s="2" t="n"/>
      <c r="N215" s="2" t="n"/>
      <c r="O215" s="2" t="n"/>
      <c r="P215" s="2" t="n"/>
    </row>
    <row r="216">
      <c r="A216" s="2" t="n"/>
      <c r="B216" s="84" t="n"/>
      <c r="C216" s="78" t="n"/>
      <c r="D216" s="78" t="n"/>
      <c r="E216" s="78" t="n"/>
      <c r="F216" s="73" t="n"/>
      <c r="G216" s="77" t="n"/>
      <c r="H216" s="85">
        <f>IF(OR($F216="",$G216=""),"",ROUND($F216*$G216,2))</f>
        <v/>
      </c>
      <c r="I216" s="85">
        <f>IF($F216="","",ROUND($F216*(1+IF($G216="",0,$G216)),2))</f>
        <v/>
      </c>
      <c r="J216" s="69" t="n"/>
      <c r="K216" s="86">
        <f>IF($B216="","",MONTH($B216))</f>
        <v/>
      </c>
      <c r="L216" s="2" t="n"/>
      <c r="M216" s="2" t="n"/>
      <c r="N216" s="2" t="n"/>
      <c r="O216" s="2" t="n"/>
      <c r="P216" s="2" t="n"/>
    </row>
    <row r="217">
      <c r="A217" s="2" t="n"/>
      <c r="B217" s="84" t="n"/>
      <c r="C217" s="78" t="n"/>
      <c r="D217" s="78" t="n"/>
      <c r="E217" s="78" t="n"/>
      <c r="F217" s="73" t="n"/>
      <c r="G217" s="77" t="n"/>
      <c r="H217" s="87">
        <f>IF(OR($F217="",$G217=""),"",ROUND($F217*$G217,2))</f>
        <v/>
      </c>
      <c r="I217" s="87">
        <f>IF($F217="","",ROUND($F217*(1+IF($G217="",0,$G217)),2))</f>
        <v/>
      </c>
      <c r="J217" s="69" t="n"/>
      <c r="K217" s="88">
        <f>IF($B217="","",MONTH($B217))</f>
        <v/>
      </c>
      <c r="L217" s="2" t="n"/>
      <c r="M217" s="2" t="n"/>
      <c r="N217" s="2" t="n"/>
      <c r="O217" s="2" t="n"/>
      <c r="P217" s="2" t="n"/>
    </row>
    <row r="218">
      <c r="A218" s="2" t="n"/>
      <c r="B218" s="84" t="n"/>
      <c r="C218" s="78" t="n"/>
      <c r="D218" s="78" t="n"/>
      <c r="E218" s="78" t="n"/>
      <c r="F218" s="73" t="n"/>
      <c r="G218" s="77" t="n"/>
      <c r="H218" s="85">
        <f>IF(OR($F218="",$G218=""),"",ROUND($F218*$G218,2))</f>
        <v/>
      </c>
      <c r="I218" s="85">
        <f>IF($F218="","",ROUND($F218*(1+IF($G218="",0,$G218)),2))</f>
        <v/>
      </c>
      <c r="J218" s="69" t="n"/>
      <c r="K218" s="86">
        <f>IF($B218="","",MONTH($B218))</f>
        <v/>
      </c>
      <c r="L218" s="2" t="n"/>
      <c r="M218" s="2" t="n"/>
      <c r="N218" s="2" t="n"/>
      <c r="O218" s="2" t="n"/>
      <c r="P218" s="2" t="n"/>
    </row>
    <row r="219">
      <c r="A219" s="2" t="n"/>
      <c r="B219" s="84" t="n"/>
      <c r="C219" s="78" t="n"/>
      <c r="D219" s="78" t="n"/>
      <c r="E219" s="78" t="n"/>
      <c r="F219" s="73" t="n"/>
      <c r="G219" s="77" t="n"/>
      <c r="H219" s="87">
        <f>IF(OR($F219="",$G219=""),"",ROUND($F219*$G219,2))</f>
        <v/>
      </c>
      <c r="I219" s="87">
        <f>IF($F219="","",ROUND($F219*(1+IF($G219="",0,$G219)),2))</f>
        <v/>
      </c>
      <c r="J219" s="69" t="n"/>
      <c r="K219" s="88">
        <f>IF($B219="","",MONTH($B219))</f>
        <v/>
      </c>
      <c r="L219" s="2" t="n"/>
      <c r="M219" s="2" t="n"/>
      <c r="N219" s="2" t="n"/>
      <c r="O219" s="2" t="n"/>
      <c r="P219" s="2" t="n"/>
    </row>
    <row r="220">
      <c r="A220" s="2" t="n"/>
      <c r="B220" s="84" t="n"/>
      <c r="C220" s="78" t="n"/>
      <c r="D220" s="78" t="n"/>
      <c r="E220" s="78" t="n"/>
      <c r="F220" s="73" t="n"/>
      <c r="G220" s="77" t="n"/>
      <c r="H220" s="85">
        <f>IF(OR($F220="",$G220=""),"",ROUND($F220*$G220,2))</f>
        <v/>
      </c>
      <c r="I220" s="85">
        <f>IF($F220="","",ROUND($F220*(1+IF($G220="",0,$G220)),2))</f>
        <v/>
      </c>
      <c r="J220" s="69" t="n"/>
      <c r="K220" s="86">
        <f>IF($B220="","",MONTH($B220))</f>
        <v/>
      </c>
      <c r="L220" s="2" t="n"/>
      <c r="M220" s="2" t="n"/>
      <c r="N220" s="2" t="n"/>
      <c r="O220" s="2" t="n"/>
      <c r="P220" s="2" t="n"/>
    </row>
    <row r="221">
      <c r="A221" s="2" t="n"/>
      <c r="B221" s="84" t="n"/>
      <c r="C221" s="78" t="n"/>
      <c r="D221" s="78" t="n"/>
      <c r="E221" s="78" t="n"/>
      <c r="F221" s="73" t="n"/>
      <c r="G221" s="77" t="n"/>
      <c r="H221" s="87">
        <f>IF(OR($F221="",$G221=""),"",ROUND($F221*$G221,2))</f>
        <v/>
      </c>
      <c r="I221" s="87">
        <f>IF($F221="","",ROUND($F221*(1+IF($G221="",0,$G221)),2))</f>
        <v/>
      </c>
      <c r="J221" s="69" t="n"/>
      <c r="K221" s="88">
        <f>IF($B221="","",MONTH($B221))</f>
        <v/>
      </c>
      <c r="L221" s="2" t="n"/>
      <c r="M221" s="2" t="n"/>
      <c r="N221" s="2" t="n"/>
      <c r="O221" s="2" t="n"/>
      <c r="P221" s="2" t="n"/>
    </row>
    <row r="222">
      <c r="A222" s="2" t="n"/>
      <c r="B222" s="84" t="n"/>
      <c r="C222" s="78" t="n"/>
      <c r="D222" s="78" t="n"/>
      <c r="E222" s="78" t="n"/>
      <c r="F222" s="73" t="n"/>
      <c r="G222" s="77" t="n"/>
      <c r="H222" s="85">
        <f>IF(OR($F222="",$G222=""),"",ROUND($F222*$G222,2))</f>
        <v/>
      </c>
      <c r="I222" s="85">
        <f>IF($F222="","",ROUND($F222*(1+IF($G222="",0,$G222)),2))</f>
        <v/>
      </c>
      <c r="J222" s="69" t="n"/>
      <c r="K222" s="86">
        <f>IF($B222="","",MONTH($B222))</f>
        <v/>
      </c>
      <c r="L222" s="2" t="n"/>
      <c r="M222" s="2" t="n"/>
      <c r="N222" s="2" t="n"/>
      <c r="O222" s="2" t="n"/>
      <c r="P222" s="2" t="n"/>
    </row>
    <row r="223">
      <c r="A223" s="2" t="n"/>
      <c r="B223" s="84" t="n"/>
      <c r="C223" s="78" t="n"/>
      <c r="D223" s="78" t="n"/>
      <c r="E223" s="78" t="n"/>
      <c r="F223" s="73" t="n"/>
      <c r="G223" s="77" t="n"/>
      <c r="H223" s="87">
        <f>IF(OR($F223="",$G223=""),"",ROUND($F223*$G223,2))</f>
        <v/>
      </c>
      <c r="I223" s="87">
        <f>IF($F223="","",ROUND($F223*(1+IF($G223="",0,$G223)),2))</f>
        <v/>
      </c>
      <c r="J223" s="69" t="n"/>
      <c r="K223" s="88">
        <f>IF($B223="","",MONTH($B223))</f>
        <v/>
      </c>
      <c r="L223" s="2" t="n"/>
      <c r="M223" s="2" t="n"/>
      <c r="N223" s="2" t="n"/>
      <c r="O223" s="2" t="n"/>
      <c r="P223" s="2" t="n"/>
    </row>
    <row r="224">
      <c r="A224" s="2" t="n"/>
      <c r="B224" s="84" t="n"/>
      <c r="C224" s="78" t="n"/>
      <c r="D224" s="78" t="n"/>
      <c r="E224" s="78" t="n"/>
      <c r="F224" s="73" t="n"/>
      <c r="G224" s="77" t="n"/>
      <c r="H224" s="85">
        <f>IF(OR($F224="",$G224=""),"",ROUND($F224*$G224,2))</f>
        <v/>
      </c>
      <c r="I224" s="85">
        <f>IF($F224="","",ROUND($F224*(1+IF($G224="",0,$G224)),2))</f>
        <v/>
      </c>
      <c r="J224" s="69" t="n"/>
      <c r="K224" s="86">
        <f>IF($B224="","",MONTH($B224))</f>
        <v/>
      </c>
      <c r="L224" s="2" t="n"/>
      <c r="M224" s="2" t="n"/>
      <c r="N224" s="2" t="n"/>
      <c r="O224" s="2" t="n"/>
      <c r="P224" s="2" t="n"/>
    </row>
    <row r="225">
      <c r="A225" s="2" t="n"/>
      <c r="B225" s="84" t="n"/>
      <c r="C225" s="78" t="n"/>
      <c r="D225" s="78" t="n"/>
      <c r="E225" s="78" t="n"/>
      <c r="F225" s="73" t="n"/>
      <c r="G225" s="77" t="n"/>
      <c r="H225" s="87">
        <f>IF(OR($F225="",$G225=""),"",ROUND($F225*$G225,2))</f>
        <v/>
      </c>
      <c r="I225" s="87">
        <f>IF($F225="","",ROUND($F225*(1+IF($G225="",0,$G225)),2))</f>
        <v/>
      </c>
      <c r="J225" s="69" t="n"/>
      <c r="K225" s="88">
        <f>IF($B225="","",MONTH($B225))</f>
        <v/>
      </c>
      <c r="L225" s="2" t="n"/>
      <c r="M225" s="2" t="n"/>
      <c r="N225" s="2" t="n"/>
      <c r="O225" s="2" t="n"/>
      <c r="P225" s="2" t="n"/>
    </row>
    <row r="226">
      <c r="A226" s="2" t="n"/>
      <c r="B226" s="84" t="n"/>
      <c r="C226" s="78" t="n"/>
      <c r="D226" s="78" t="n"/>
      <c r="E226" s="78" t="n"/>
      <c r="F226" s="73" t="n"/>
      <c r="G226" s="77" t="n"/>
      <c r="H226" s="85">
        <f>IF(OR($F226="",$G226=""),"",ROUND($F226*$G226,2))</f>
        <v/>
      </c>
      <c r="I226" s="85">
        <f>IF($F226="","",ROUND($F226*(1+IF($G226="",0,$G226)),2))</f>
        <v/>
      </c>
      <c r="J226" s="69" t="n"/>
      <c r="K226" s="86">
        <f>IF($B226="","",MONTH($B226))</f>
        <v/>
      </c>
      <c r="L226" s="2" t="n"/>
      <c r="M226" s="2" t="n"/>
      <c r="N226" s="2" t="n"/>
      <c r="O226" s="2" t="n"/>
      <c r="P226" s="2" t="n"/>
    </row>
    <row r="227">
      <c r="A227" s="2" t="n"/>
      <c r="B227" s="84" t="n"/>
      <c r="C227" s="78" t="n"/>
      <c r="D227" s="78" t="n"/>
      <c r="E227" s="78" t="n"/>
      <c r="F227" s="73" t="n"/>
      <c r="G227" s="77" t="n"/>
      <c r="H227" s="87">
        <f>IF(OR($F227="",$G227=""),"",ROUND($F227*$G227,2))</f>
        <v/>
      </c>
      <c r="I227" s="87">
        <f>IF($F227="","",ROUND($F227*(1+IF($G227="",0,$G227)),2))</f>
        <v/>
      </c>
      <c r="J227" s="69" t="n"/>
      <c r="K227" s="88">
        <f>IF($B227="","",MONTH($B227))</f>
        <v/>
      </c>
      <c r="L227" s="2" t="n"/>
      <c r="M227" s="2" t="n"/>
      <c r="N227" s="2" t="n"/>
      <c r="O227" s="2" t="n"/>
      <c r="P227" s="2" t="n"/>
    </row>
    <row r="228">
      <c r="A228" s="2" t="n"/>
      <c r="B228" s="84" t="n"/>
      <c r="C228" s="78" t="n"/>
      <c r="D228" s="78" t="n"/>
      <c r="E228" s="78" t="n"/>
      <c r="F228" s="73" t="n"/>
      <c r="G228" s="77" t="n"/>
      <c r="H228" s="85">
        <f>IF(OR($F228="",$G228=""),"",ROUND($F228*$G228,2))</f>
        <v/>
      </c>
      <c r="I228" s="85">
        <f>IF($F228="","",ROUND($F228*(1+IF($G228="",0,$G228)),2))</f>
        <v/>
      </c>
      <c r="J228" s="69" t="n"/>
      <c r="K228" s="86">
        <f>IF($B228="","",MONTH($B228))</f>
        <v/>
      </c>
      <c r="L228" s="2" t="n"/>
      <c r="M228" s="2" t="n"/>
      <c r="N228" s="2" t="n"/>
      <c r="O228" s="2" t="n"/>
      <c r="P228" s="2" t="n"/>
    </row>
    <row r="229">
      <c r="A229" s="2" t="n"/>
      <c r="B229" s="84" t="n"/>
      <c r="C229" s="78" t="n"/>
      <c r="D229" s="78" t="n"/>
      <c r="E229" s="78" t="n"/>
      <c r="F229" s="73" t="n"/>
      <c r="G229" s="77" t="n"/>
      <c r="H229" s="87">
        <f>IF(OR($F229="",$G229=""),"",ROUND($F229*$G229,2))</f>
        <v/>
      </c>
      <c r="I229" s="87">
        <f>IF($F229="","",ROUND($F229*(1+IF($G229="",0,$G229)),2))</f>
        <v/>
      </c>
      <c r="J229" s="69" t="n"/>
      <c r="K229" s="88">
        <f>IF($B229="","",MONTH($B229))</f>
        <v/>
      </c>
      <c r="L229" s="2" t="n"/>
      <c r="M229" s="2" t="n"/>
      <c r="N229" s="2" t="n"/>
      <c r="O229" s="2" t="n"/>
      <c r="P229" s="2" t="n"/>
    </row>
    <row r="230">
      <c r="A230" s="2" t="n"/>
      <c r="B230" s="84" t="n"/>
      <c r="C230" s="78" t="n"/>
      <c r="D230" s="78" t="n"/>
      <c r="E230" s="78" t="n"/>
      <c r="F230" s="73" t="n"/>
      <c r="G230" s="77" t="n"/>
      <c r="H230" s="85">
        <f>IF(OR($F230="",$G230=""),"",ROUND($F230*$G230,2))</f>
        <v/>
      </c>
      <c r="I230" s="85">
        <f>IF($F230="","",ROUND($F230*(1+IF($G230="",0,$G230)),2))</f>
        <v/>
      </c>
      <c r="J230" s="69" t="n"/>
      <c r="K230" s="86">
        <f>IF($B230="","",MONTH($B230))</f>
        <v/>
      </c>
      <c r="L230" s="2" t="n"/>
      <c r="M230" s="2" t="n"/>
      <c r="N230" s="2" t="n"/>
      <c r="O230" s="2" t="n"/>
      <c r="P230" s="2" t="n"/>
    </row>
    <row r="231">
      <c r="A231" s="2" t="n"/>
      <c r="B231" s="84" t="n"/>
      <c r="C231" s="78" t="n"/>
      <c r="D231" s="78" t="n"/>
      <c r="E231" s="78" t="n"/>
      <c r="F231" s="73" t="n"/>
      <c r="G231" s="77" t="n"/>
      <c r="H231" s="87">
        <f>IF(OR($F231="",$G231=""),"",ROUND($F231*$G231,2))</f>
        <v/>
      </c>
      <c r="I231" s="87">
        <f>IF($F231="","",ROUND($F231*(1+IF($G231="",0,$G231)),2))</f>
        <v/>
      </c>
      <c r="J231" s="69" t="n"/>
      <c r="K231" s="88">
        <f>IF($B231="","",MONTH($B231))</f>
        <v/>
      </c>
      <c r="L231" s="2" t="n"/>
      <c r="M231" s="2" t="n"/>
      <c r="N231" s="2" t="n"/>
      <c r="O231" s="2" t="n"/>
      <c r="P231" s="2" t="n"/>
    </row>
    <row r="232">
      <c r="A232" s="2" t="n"/>
      <c r="B232" s="84" t="n"/>
      <c r="C232" s="78" t="n"/>
      <c r="D232" s="78" t="n"/>
      <c r="E232" s="78" t="n"/>
      <c r="F232" s="73" t="n"/>
      <c r="G232" s="77" t="n"/>
      <c r="H232" s="85">
        <f>IF(OR($F232="",$G232=""),"",ROUND($F232*$G232,2))</f>
        <v/>
      </c>
      <c r="I232" s="85">
        <f>IF($F232="","",ROUND($F232*(1+IF($G232="",0,$G232)),2))</f>
        <v/>
      </c>
      <c r="J232" s="69" t="n"/>
      <c r="K232" s="86">
        <f>IF($B232="","",MONTH($B232))</f>
        <v/>
      </c>
      <c r="L232" s="2" t="n"/>
      <c r="M232" s="2" t="n"/>
      <c r="N232" s="2" t="n"/>
      <c r="O232" s="2" t="n"/>
      <c r="P232" s="2" t="n"/>
    </row>
    <row r="233">
      <c r="A233" s="2" t="n"/>
      <c r="B233" s="84" t="n"/>
      <c r="C233" s="78" t="n"/>
      <c r="D233" s="78" t="n"/>
      <c r="E233" s="78" t="n"/>
      <c r="F233" s="73" t="n"/>
      <c r="G233" s="77" t="n"/>
      <c r="H233" s="87">
        <f>IF(OR($F233="",$G233=""),"",ROUND($F233*$G233,2))</f>
        <v/>
      </c>
      <c r="I233" s="87">
        <f>IF($F233="","",ROUND($F233*(1+IF($G233="",0,$G233)),2))</f>
        <v/>
      </c>
      <c r="J233" s="69" t="n"/>
      <c r="K233" s="88">
        <f>IF($B233="","",MONTH($B233))</f>
        <v/>
      </c>
      <c r="L233" s="2" t="n"/>
      <c r="M233" s="2" t="n"/>
      <c r="N233" s="2" t="n"/>
      <c r="O233" s="2" t="n"/>
      <c r="P233" s="2" t="n"/>
    </row>
    <row r="234">
      <c r="A234" s="2" t="n"/>
      <c r="B234" s="84" t="n"/>
      <c r="C234" s="78" t="n"/>
      <c r="D234" s="78" t="n"/>
      <c r="E234" s="78" t="n"/>
      <c r="F234" s="73" t="n"/>
      <c r="G234" s="77" t="n"/>
      <c r="H234" s="85">
        <f>IF(OR($F234="",$G234=""),"",ROUND($F234*$G234,2))</f>
        <v/>
      </c>
      <c r="I234" s="85">
        <f>IF($F234="","",ROUND($F234*(1+IF($G234="",0,$G234)),2))</f>
        <v/>
      </c>
      <c r="J234" s="69" t="n"/>
      <c r="K234" s="86">
        <f>IF($B234="","",MONTH($B234))</f>
        <v/>
      </c>
      <c r="L234" s="2" t="n"/>
      <c r="M234" s="2" t="n"/>
      <c r="N234" s="2" t="n"/>
      <c r="O234" s="2" t="n"/>
      <c r="P234" s="2" t="n"/>
    </row>
    <row r="235">
      <c r="A235" s="2" t="n"/>
      <c r="B235" s="84" t="n"/>
      <c r="C235" s="78" t="n"/>
      <c r="D235" s="78" t="n"/>
      <c r="E235" s="78" t="n"/>
      <c r="F235" s="73" t="n"/>
      <c r="G235" s="77" t="n"/>
      <c r="H235" s="87">
        <f>IF(OR($F235="",$G235=""),"",ROUND($F235*$G235,2))</f>
        <v/>
      </c>
      <c r="I235" s="87">
        <f>IF($F235="","",ROUND($F235*(1+IF($G235="",0,$G235)),2))</f>
        <v/>
      </c>
      <c r="J235" s="69" t="n"/>
      <c r="K235" s="88">
        <f>IF($B235="","",MONTH($B235))</f>
        <v/>
      </c>
      <c r="L235" s="2" t="n"/>
      <c r="M235" s="2" t="n"/>
      <c r="N235" s="2" t="n"/>
      <c r="O235" s="2" t="n"/>
      <c r="P235" s="2" t="n"/>
    </row>
    <row r="236">
      <c r="A236" s="2" t="n"/>
      <c r="B236" s="84" t="n"/>
      <c r="C236" s="78" t="n"/>
      <c r="D236" s="78" t="n"/>
      <c r="E236" s="78" t="n"/>
      <c r="F236" s="73" t="n"/>
      <c r="G236" s="77" t="n"/>
      <c r="H236" s="85">
        <f>IF(OR($F236="",$G236=""),"",ROUND($F236*$G236,2))</f>
        <v/>
      </c>
      <c r="I236" s="85">
        <f>IF($F236="","",ROUND($F236*(1+IF($G236="",0,$G236)),2))</f>
        <v/>
      </c>
      <c r="J236" s="69" t="n"/>
      <c r="K236" s="86">
        <f>IF($B236="","",MONTH($B236))</f>
        <v/>
      </c>
      <c r="L236" s="2" t="n"/>
      <c r="M236" s="2" t="n"/>
      <c r="N236" s="2" t="n"/>
      <c r="O236" s="2" t="n"/>
      <c r="P236" s="2" t="n"/>
    </row>
    <row r="237">
      <c r="A237" s="2" t="n"/>
      <c r="B237" s="84" t="n"/>
      <c r="C237" s="78" t="n"/>
      <c r="D237" s="78" t="n"/>
      <c r="E237" s="78" t="n"/>
      <c r="F237" s="73" t="n"/>
      <c r="G237" s="77" t="n"/>
      <c r="H237" s="87">
        <f>IF(OR($F237="",$G237=""),"",ROUND($F237*$G237,2))</f>
        <v/>
      </c>
      <c r="I237" s="87">
        <f>IF($F237="","",ROUND($F237*(1+IF($G237="",0,$G237)),2))</f>
        <v/>
      </c>
      <c r="J237" s="69" t="n"/>
      <c r="K237" s="88">
        <f>IF($B237="","",MONTH($B237))</f>
        <v/>
      </c>
      <c r="L237" s="2" t="n"/>
      <c r="M237" s="2" t="n"/>
      <c r="N237" s="2" t="n"/>
      <c r="O237" s="2" t="n"/>
      <c r="P237" s="2" t="n"/>
    </row>
    <row r="238">
      <c r="A238" s="2" t="n"/>
      <c r="B238" s="84" t="n"/>
      <c r="C238" s="78" t="n"/>
      <c r="D238" s="78" t="n"/>
      <c r="E238" s="78" t="n"/>
      <c r="F238" s="73" t="n"/>
      <c r="G238" s="77" t="n"/>
      <c r="H238" s="85">
        <f>IF(OR($F238="",$G238=""),"",ROUND($F238*$G238,2))</f>
        <v/>
      </c>
      <c r="I238" s="85">
        <f>IF($F238="","",ROUND($F238*(1+IF($G238="",0,$G238)),2))</f>
        <v/>
      </c>
      <c r="J238" s="69" t="n"/>
      <c r="K238" s="86">
        <f>IF($B238="","",MONTH($B238))</f>
        <v/>
      </c>
      <c r="L238" s="2" t="n"/>
      <c r="M238" s="2" t="n"/>
      <c r="N238" s="2" t="n"/>
      <c r="O238" s="2" t="n"/>
      <c r="P238" s="2" t="n"/>
    </row>
    <row r="239">
      <c r="A239" s="2" t="n"/>
      <c r="B239" s="84" t="n"/>
      <c r="C239" s="78" t="n"/>
      <c r="D239" s="78" t="n"/>
      <c r="E239" s="78" t="n"/>
      <c r="F239" s="73" t="n"/>
      <c r="G239" s="77" t="n"/>
      <c r="H239" s="87">
        <f>IF(OR($F239="",$G239=""),"",ROUND($F239*$G239,2))</f>
        <v/>
      </c>
      <c r="I239" s="87">
        <f>IF($F239="","",ROUND($F239*(1+IF($G239="",0,$G239)),2))</f>
        <v/>
      </c>
      <c r="J239" s="69" t="n"/>
      <c r="K239" s="88">
        <f>IF($B239="","",MONTH($B239))</f>
        <v/>
      </c>
      <c r="L239" s="2" t="n"/>
      <c r="M239" s="2" t="n"/>
      <c r="N239" s="2" t="n"/>
      <c r="O239" s="2" t="n"/>
      <c r="P239" s="2" t="n"/>
    </row>
    <row r="240">
      <c r="A240" s="2" t="n"/>
      <c r="B240" s="84" t="n"/>
      <c r="C240" s="78" t="n"/>
      <c r="D240" s="78" t="n"/>
      <c r="E240" s="78" t="n"/>
      <c r="F240" s="73" t="n"/>
      <c r="G240" s="77" t="n"/>
      <c r="H240" s="85">
        <f>IF(OR($F240="",$G240=""),"",ROUND($F240*$G240,2))</f>
        <v/>
      </c>
      <c r="I240" s="85">
        <f>IF($F240="","",ROUND($F240*(1+IF($G240="",0,$G240)),2))</f>
        <v/>
      </c>
      <c r="J240" s="69" t="n"/>
      <c r="K240" s="86">
        <f>IF($B240="","",MONTH($B240))</f>
        <v/>
      </c>
      <c r="L240" s="2" t="n"/>
      <c r="M240" s="2" t="n"/>
      <c r="N240" s="2" t="n"/>
      <c r="O240" s="2" t="n"/>
      <c r="P240" s="2" t="n"/>
    </row>
    <row r="241">
      <c r="A241" s="2" t="n"/>
      <c r="B241" s="84" t="n"/>
      <c r="C241" s="78" t="n"/>
      <c r="D241" s="78" t="n"/>
      <c r="E241" s="78" t="n"/>
      <c r="F241" s="73" t="n"/>
      <c r="G241" s="77" t="n"/>
      <c r="H241" s="87">
        <f>IF(OR($F241="",$G241=""),"",ROUND($F241*$G241,2))</f>
        <v/>
      </c>
      <c r="I241" s="87">
        <f>IF($F241="","",ROUND($F241*(1+IF($G241="",0,$G241)),2))</f>
        <v/>
      </c>
      <c r="J241" s="69" t="n"/>
      <c r="K241" s="88">
        <f>IF($B241="","",MONTH($B241))</f>
        <v/>
      </c>
      <c r="L241" s="2" t="n"/>
      <c r="M241" s="2" t="n"/>
      <c r="N241" s="2" t="n"/>
      <c r="O241" s="2" t="n"/>
      <c r="P241" s="2" t="n"/>
    </row>
    <row r="242">
      <c r="A242" s="2" t="n"/>
      <c r="B242" s="84" t="n"/>
      <c r="C242" s="78" t="n"/>
      <c r="D242" s="78" t="n"/>
      <c r="E242" s="78" t="n"/>
      <c r="F242" s="73" t="n"/>
      <c r="G242" s="77" t="n"/>
      <c r="H242" s="85">
        <f>IF(OR($F242="",$G242=""),"",ROUND($F242*$G242,2))</f>
        <v/>
      </c>
      <c r="I242" s="85">
        <f>IF($F242="","",ROUND($F242*(1+IF($G242="",0,$G242)),2))</f>
        <v/>
      </c>
      <c r="J242" s="69" t="n"/>
      <c r="K242" s="86">
        <f>IF($B242="","",MONTH($B242))</f>
        <v/>
      </c>
      <c r="L242" s="2" t="n"/>
      <c r="M242" s="2" t="n"/>
      <c r="N242" s="2" t="n"/>
      <c r="O242" s="2" t="n"/>
      <c r="P242" s="2" t="n"/>
    </row>
    <row r="243">
      <c r="A243" s="2" t="n"/>
      <c r="B243" s="84" t="n"/>
      <c r="C243" s="78" t="n"/>
      <c r="D243" s="78" t="n"/>
      <c r="E243" s="78" t="n"/>
      <c r="F243" s="73" t="n"/>
      <c r="G243" s="77" t="n"/>
      <c r="H243" s="87">
        <f>IF(OR($F243="",$G243=""),"",ROUND($F243*$G243,2))</f>
        <v/>
      </c>
      <c r="I243" s="87">
        <f>IF($F243="","",ROUND($F243*(1+IF($G243="",0,$G243)),2))</f>
        <v/>
      </c>
      <c r="J243" s="69" t="n"/>
      <c r="K243" s="88">
        <f>IF($B243="","",MONTH($B243))</f>
        <v/>
      </c>
      <c r="L243" s="2" t="n"/>
      <c r="M243" s="2" t="n"/>
      <c r="N243" s="2" t="n"/>
      <c r="O243" s="2" t="n"/>
      <c r="P243" s="2" t="n"/>
    </row>
    <row r="244">
      <c r="A244" s="2" t="n"/>
      <c r="B244" s="84" t="n"/>
      <c r="C244" s="78" t="n"/>
      <c r="D244" s="78" t="n"/>
      <c r="E244" s="78" t="n"/>
      <c r="F244" s="73" t="n"/>
      <c r="G244" s="77" t="n"/>
      <c r="H244" s="85">
        <f>IF(OR($F244="",$G244=""),"",ROUND($F244*$G244,2))</f>
        <v/>
      </c>
      <c r="I244" s="85">
        <f>IF($F244="","",ROUND($F244*(1+IF($G244="",0,$G244)),2))</f>
        <v/>
      </c>
      <c r="J244" s="69" t="n"/>
      <c r="K244" s="86">
        <f>IF($B244="","",MONTH($B244))</f>
        <v/>
      </c>
      <c r="L244" s="2" t="n"/>
      <c r="M244" s="2" t="n"/>
      <c r="N244" s="2" t="n"/>
      <c r="O244" s="2" t="n"/>
      <c r="P244" s="2" t="n"/>
    </row>
    <row r="245">
      <c r="A245" s="2" t="n"/>
      <c r="B245" s="84" t="n"/>
      <c r="C245" s="78" t="n"/>
      <c r="D245" s="78" t="n"/>
      <c r="E245" s="78" t="n"/>
      <c r="F245" s="73" t="n"/>
      <c r="G245" s="77" t="n"/>
      <c r="H245" s="87">
        <f>IF(OR($F245="",$G245=""),"",ROUND($F245*$G245,2))</f>
        <v/>
      </c>
      <c r="I245" s="87">
        <f>IF($F245="","",ROUND($F245*(1+IF($G245="",0,$G245)),2))</f>
        <v/>
      </c>
      <c r="J245" s="69" t="n"/>
      <c r="K245" s="88">
        <f>IF($B245="","",MONTH($B245))</f>
        <v/>
      </c>
      <c r="L245" s="2" t="n"/>
      <c r="M245" s="2" t="n"/>
      <c r="N245" s="2" t="n"/>
      <c r="O245" s="2" t="n"/>
      <c r="P245" s="2" t="n"/>
    </row>
    <row r="246">
      <c r="A246" s="2" t="n"/>
      <c r="B246" s="84" t="n"/>
      <c r="C246" s="78" t="n"/>
      <c r="D246" s="78" t="n"/>
      <c r="E246" s="78" t="n"/>
      <c r="F246" s="73" t="n"/>
      <c r="G246" s="77" t="n"/>
      <c r="H246" s="85">
        <f>IF(OR($F246="",$G246=""),"",ROUND($F246*$G246,2))</f>
        <v/>
      </c>
      <c r="I246" s="85">
        <f>IF($F246="","",ROUND($F246*(1+IF($G246="",0,$G246)),2))</f>
        <v/>
      </c>
      <c r="J246" s="69" t="n"/>
      <c r="K246" s="86">
        <f>IF($B246="","",MONTH($B246))</f>
        <v/>
      </c>
      <c r="L246" s="2" t="n"/>
      <c r="M246" s="2" t="n"/>
      <c r="N246" s="2" t="n"/>
      <c r="O246" s="2" t="n"/>
      <c r="P246" s="2" t="n"/>
    </row>
    <row r="247">
      <c r="A247" s="2" t="n"/>
      <c r="B247" s="84" t="n"/>
      <c r="C247" s="78" t="n"/>
      <c r="D247" s="78" t="n"/>
      <c r="E247" s="78" t="n"/>
      <c r="F247" s="73" t="n"/>
      <c r="G247" s="77" t="n"/>
      <c r="H247" s="87">
        <f>IF(OR($F247="",$G247=""),"",ROUND($F247*$G247,2))</f>
        <v/>
      </c>
      <c r="I247" s="87">
        <f>IF($F247="","",ROUND($F247*(1+IF($G247="",0,$G247)),2))</f>
        <v/>
      </c>
      <c r="J247" s="69" t="n"/>
      <c r="K247" s="88">
        <f>IF($B247="","",MONTH($B247))</f>
        <v/>
      </c>
      <c r="L247" s="2" t="n"/>
      <c r="M247" s="2" t="n"/>
      <c r="N247" s="2" t="n"/>
      <c r="O247" s="2" t="n"/>
      <c r="P247" s="2" t="n"/>
    </row>
    <row r="248">
      <c r="A248" s="2" t="n"/>
      <c r="B248" s="84" t="n"/>
      <c r="C248" s="78" t="n"/>
      <c r="D248" s="78" t="n"/>
      <c r="E248" s="78" t="n"/>
      <c r="F248" s="73" t="n"/>
      <c r="G248" s="77" t="n"/>
      <c r="H248" s="85">
        <f>IF(OR($F248="",$G248=""),"",ROUND($F248*$G248,2))</f>
        <v/>
      </c>
      <c r="I248" s="85">
        <f>IF($F248="","",ROUND($F248*(1+IF($G248="",0,$G248)),2))</f>
        <v/>
      </c>
      <c r="J248" s="69" t="n"/>
      <c r="K248" s="86">
        <f>IF($B248="","",MONTH($B248))</f>
        <v/>
      </c>
      <c r="L248" s="2" t="n"/>
      <c r="M248" s="2" t="n"/>
      <c r="N248" s="2" t="n"/>
      <c r="O248" s="2" t="n"/>
      <c r="P248" s="2" t="n"/>
    </row>
    <row r="249">
      <c r="A249" s="2" t="n"/>
      <c r="B249" s="84" t="n"/>
      <c r="C249" s="78" t="n"/>
      <c r="D249" s="78" t="n"/>
      <c r="E249" s="78" t="n"/>
      <c r="F249" s="73" t="n"/>
      <c r="G249" s="77" t="n"/>
      <c r="H249" s="87">
        <f>IF(OR($F249="",$G249=""),"",ROUND($F249*$G249,2))</f>
        <v/>
      </c>
      <c r="I249" s="87">
        <f>IF($F249="","",ROUND($F249*(1+IF($G249="",0,$G249)),2))</f>
        <v/>
      </c>
      <c r="J249" s="69" t="n"/>
      <c r="K249" s="88">
        <f>IF($B249="","",MONTH($B249))</f>
        <v/>
      </c>
      <c r="L249" s="2" t="n"/>
      <c r="M249" s="2" t="n"/>
      <c r="N249" s="2" t="n"/>
      <c r="O249" s="2" t="n"/>
      <c r="P249" s="2" t="n"/>
    </row>
    <row r="250">
      <c r="A250" s="2" t="n"/>
      <c r="B250" s="84" t="n"/>
      <c r="C250" s="78" t="n"/>
      <c r="D250" s="78" t="n"/>
      <c r="E250" s="78" t="n"/>
      <c r="F250" s="73" t="n"/>
      <c r="G250" s="77" t="n"/>
      <c r="H250" s="85">
        <f>IF(OR($F250="",$G250=""),"",ROUND($F250*$G250,2))</f>
        <v/>
      </c>
      <c r="I250" s="85">
        <f>IF($F250="","",ROUND($F250*(1+IF($G250="",0,$G250)),2))</f>
        <v/>
      </c>
      <c r="J250" s="69" t="n"/>
      <c r="K250" s="86">
        <f>IF($B250="","",MONTH($B250))</f>
        <v/>
      </c>
      <c r="L250" s="2" t="n"/>
      <c r="M250" s="2" t="n"/>
      <c r="N250" s="2" t="n"/>
      <c r="O250" s="2" t="n"/>
      <c r="P250" s="2" t="n"/>
    </row>
    <row r="251">
      <c r="A251" s="2" t="n"/>
      <c r="B251" s="84" t="n"/>
      <c r="C251" s="78" t="n"/>
      <c r="D251" s="78" t="n"/>
      <c r="E251" s="78" t="n"/>
      <c r="F251" s="73" t="n"/>
      <c r="G251" s="77" t="n"/>
      <c r="H251" s="87">
        <f>IF(OR($F251="",$G251=""),"",ROUND($F251*$G251,2))</f>
        <v/>
      </c>
      <c r="I251" s="87">
        <f>IF($F251="","",ROUND($F251*(1+IF($G251="",0,$G251)),2))</f>
        <v/>
      </c>
      <c r="J251" s="69" t="n"/>
      <c r="K251" s="88">
        <f>IF($B251="","",MONTH($B251))</f>
        <v/>
      </c>
      <c r="L251" s="2" t="n"/>
      <c r="M251" s="2" t="n"/>
      <c r="N251" s="2" t="n"/>
      <c r="O251" s="2" t="n"/>
      <c r="P251" s="2" t="n"/>
    </row>
    <row r="252">
      <c r="A252" s="2" t="n"/>
      <c r="B252" s="84" t="n"/>
      <c r="C252" s="78" t="n"/>
      <c r="D252" s="78" t="n"/>
      <c r="E252" s="78" t="n"/>
      <c r="F252" s="73" t="n"/>
      <c r="G252" s="77" t="n"/>
      <c r="H252" s="85">
        <f>IF(OR($F252="",$G252=""),"",ROUND($F252*$G252,2))</f>
        <v/>
      </c>
      <c r="I252" s="85">
        <f>IF($F252="","",ROUND($F252*(1+IF($G252="",0,$G252)),2))</f>
        <v/>
      </c>
      <c r="J252" s="69" t="n"/>
      <c r="K252" s="86">
        <f>IF($B252="","",MONTH($B252))</f>
        <v/>
      </c>
      <c r="L252" s="2" t="n"/>
      <c r="M252" s="2" t="n"/>
      <c r="N252" s="2" t="n"/>
      <c r="O252" s="2" t="n"/>
      <c r="P252" s="2" t="n"/>
    </row>
    <row r="253">
      <c r="A253" s="2" t="n"/>
      <c r="B253" s="84" t="n"/>
      <c r="C253" s="78" t="n"/>
      <c r="D253" s="78" t="n"/>
      <c r="E253" s="78" t="n"/>
      <c r="F253" s="73" t="n"/>
      <c r="G253" s="77" t="n"/>
      <c r="H253" s="87">
        <f>IF(OR($F253="",$G253=""),"",ROUND($F253*$G253,2))</f>
        <v/>
      </c>
      <c r="I253" s="87">
        <f>IF($F253="","",ROUND($F253*(1+IF($G253="",0,$G253)),2))</f>
        <v/>
      </c>
      <c r="J253" s="69" t="n"/>
      <c r="K253" s="88">
        <f>IF($B253="","",MONTH($B253))</f>
        <v/>
      </c>
      <c r="L253" s="2" t="n"/>
      <c r="M253" s="2" t="n"/>
      <c r="N253" s="2" t="n"/>
      <c r="O253" s="2" t="n"/>
      <c r="P253" s="2" t="n"/>
    </row>
    <row r="254">
      <c r="A254" s="2" t="n"/>
      <c r="B254" s="84" t="n"/>
      <c r="C254" s="78" t="n"/>
      <c r="D254" s="78" t="n"/>
      <c r="E254" s="78" t="n"/>
      <c r="F254" s="73" t="n"/>
      <c r="G254" s="77" t="n"/>
      <c r="H254" s="85">
        <f>IF(OR($F254="",$G254=""),"",ROUND($F254*$G254,2))</f>
        <v/>
      </c>
      <c r="I254" s="85">
        <f>IF($F254="","",ROUND($F254*(1+IF($G254="",0,$G254)),2))</f>
        <v/>
      </c>
      <c r="J254" s="69" t="n"/>
      <c r="K254" s="86">
        <f>IF($B254="","",MONTH($B254))</f>
        <v/>
      </c>
      <c r="L254" s="2" t="n"/>
      <c r="M254" s="2" t="n"/>
      <c r="N254" s="2" t="n"/>
      <c r="O254" s="2" t="n"/>
      <c r="P254" s="2" t="n"/>
    </row>
    <row r="255">
      <c r="A255" s="2" t="n"/>
      <c r="B255" s="84" t="n"/>
      <c r="C255" s="78" t="n"/>
      <c r="D255" s="78" t="n"/>
      <c r="E255" s="78" t="n"/>
      <c r="F255" s="73" t="n"/>
      <c r="G255" s="77" t="n"/>
      <c r="H255" s="87">
        <f>IF(OR($F255="",$G255=""),"",ROUND($F255*$G255,2))</f>
        <v/>
      </c>
      <c r="I255" s="87">
        <f>IF($F255="","",ROUND($F255*(1+IF($G255="",0,$G255)),2))</f>
        <v/>
      </c>
      <c r="J255" s="69" t="n"/>
      <c r="K255" s="88">
        <f>IF($B255="","",MONTH($B255))</f>
        <v/>
      </c>
      <c r="L255" s="2" t="n"/>
      <c r="M255" s="2" t="n"/>
      <c r="N255" s="2" t="n"/>
      <c r="O255" s="2" t="n"/>
      <c r="P255" s="2" t="n"/>
    </row>
    <row r="256">
      <c r="A256" s="2" t="n"/>
      <c r="B256" s="84" t="n"/>
      <c r="C256" s="78" t="n"/>
      <c r="D256" s="78" t="n"/>
      <c r="E256" s="78" t="n"/>
      <c r="F256" s="73" t="n"/>
      <c r="G256" s="77" t="n"/>
      <c r="H256" s="85">
        <f>IF(OR($F256="",$G256=""),"",ROUND($F256*$G256,2))</f>
        <v/>
      </c>
      <c r="I256" s="85">
        <f>IF($F256="","",ROUND($F256*(1+IF($G256="",0,$G256)),2))</f>
        <v/>
      </c>
      <c r="J256" s="69" t="n"/>
      <c r="K256" s="86">
        <f>IF($B256="","",MONTH($B256))</f>
        <v/>
      </c>
      <c r="L256" s="2" t="n"/>
      <c r="M256" s="2" t="n"/>
      <c r="N256" s="2" t="n"/>
      <c r="O256" s="2" t="n"/>
      <c r="P256" s="2" t="n"/>
    </row>
    <row r="257">
      <c r="A257" s="2" t="n"/>
      <c r="B257" s="84" t="n"/>
      <c r="C257" s="78" t="n"/>
      <c r="D257" s="78" t="n"/>
      <c r="E257" s="78" t="n"/>
      <c r="F257" s="73" t="n"/>
      <c r="G257" s="77" t="n"/>
      <c r="H257" s="87">
        <f>IF(OR($F257="",$G257=""),"",ROUND($F257*$G257,2))</f>
        <v/>
      </c>
      <c r="I257" s="87">
        <f>IF($F257="","",ROUND($F257*(1+IF($G257="",0,$G257)),2))</f>
        <v/>
      </c>
      <c r="J257" s="69" t="n"/>
      <c r="K257" s="88">
        <f>IF($B257="","",MONTH($B257))</f>
        <v/>
      </c>
      <c r="L257" s="2" t="n"/>
      <c r="M257" s="2" t="n"/>
      <c r="N257" s="2" t="n"/>
      <c r="O257" s="2" t="n"/>
      <c r="P257" s="2" t="n"/>
    </row>
    <row r="258">
      <c r="A258" s="2" t="n"/>
      <c r="B258" s="84" t="n"/>
      <c r="C258" s="78" t="n"/>
      <c r="D258" s="78" t="n"/>
      <c r="E258" s="78" t="n"/>
      <c r="F258" s="73" t="n"/>
      <c r="G258" s="77" t="n"/>
      <c r="H258" s="85">
        <f>IF(OR($F258="",$G258=""),"",ROUND($F258*$G258,2))</f>
        <v/>
      </c>
      <c r="I258" s="85">
        <f>IF($F258="","",ROUND($F258*(1+IF($G258="",0,$G258)),2))</f>
        <v/>
      </c>
      <c r="J258" s="69" t="n"/>
      <c r="K258" s="86">
        <f>IF($B258="","",MONTH($B258))</f>
        <v/>
      </c>
      <c r="L258" s="2" t="n"/>
      <c r="M258" s="2" t="n"/>
      <c r="N258" s="2" t="n"/>
      <c r="O258" s="2" t="n"/>
      <c r="P258" s="2" t="n"/>
    </row>
    <row r="259">
      <c r="A259" s="2" t="n"/>
      <c r="B259" s="84" t="n"/>
      <c r="C259" s="78" t="n"/>
      <c r="D259" s="78" t="n"/>
      <c r="E259" s="78" t="n"/>
      <c r="F259" s="73" t="n"/>
      <c r="G259" s="77" t="n"/>
      <c r="H259" s="87">
        <f>IF(OR($F259="",$G259=""),"",ROUND($F259*$G259,2))</f>
        <v/>
      </c>
      <c r="I259" s="87">
        <f>IF($F259="","",ROUND($F259*(1+IF($G259="",0,$G259)),2))</f>
        <v/>
      </c>
      <c r="J259" s="69" t="n"/>
      <c r="K259" s="88">
        <f>IF($B259="","",MONTH($B259))</f>
        <v/>
      </c>
      <c r="L259" s="2" t="n"/>
      <c r="M259" s="2" t="n"/>
      <c r="N259" s="2" t="n"/>
      <c r="O259" s="2" t="n"/>
      <c r="P259" s="2" t="n"/>
    </row>
    <row r="260">
      <c r="A260" s="2" t="n"/>
      <c r="B260" s="84" t="n"/>
      <c r="C260" s="78" t="n"/>
      <c r="D260" s="78" t="n"/>
      <c r="E260" s="78" t="n"/>
      <c r="F260" s="73" t="n"/>
      <c r="G260" s="77" t="n"/>
      <c r="H260" s="85">
        <f>IF(OR($F260="",$G260=""),"",ROUND($F260*$G260,2))</f>
        <v/>
      </c>
      <c r="I260" s="85">
        <f>IF($F260="","",ROUND($F260*(1+IF($G260="",0,$G260)),2))</f>
        <v/>
      </c>
      <c r="J260" s="69" t="n"/>
      <c r="K260" s="86">
        <f>IF($B260="","",MONTH($B260))</f>
        <v/>
      </c>
      <c r="L260" s="2" t="n"/>
      <c r="M260" s="2" t="n"/>
      <c r="N260" s="2" t="n"/>
      <c r="O260" s="2" t="n"/>
      <c r="P260" s="2" t="n"/>
    </row>
    <row r="261">
      <c r="A261" s="2" t="n"/>
      <c r="B261" s="84" t="n"/>
      <c r="C261" s="78" t="n"/>
      <c r="D261" s="78" t="n"/>
      <c r="E261" s="78" t="n"/>
      <c r="F261" s="73" t="n"/>
      <c r="G261" s="77" t="n"/>
      <c r="H261" s="87">
        <f>IF(OR($F261="",$G261=""),"",ROUND($F261*$G261,2))</f>
        <v/>
      </c>
      <c r="I261" s="87">
        <f>IF($F261="","",ROUND($F261*(1+IF($G261="",0,$G261)),2))</f>
        <v/>
      </c>
      <c r="J261" s="69" t="n"/>
      <c r="K261" s="88">
        <f>IF($B261="","",MONTH($B261))</f>
        <v/>
      </c>
      <c r="L261" s="2" t="n"/>
      <c r="M261" s="2" t="n"/>
      <c r="N261" s="2" t="n"/>
      <c r="O261" s="2" t="n"/>
      <c r="P261" s="2" t="n"/>
    </row>
    <row r="262">
      <c r="A262" s="2" t="n"/>
      <c r="B262" s="84" t="n"/>
      <c r="C262" s="78" t="n"/>
      <c r="D262" s="78" t="n"/>
      <c r="E262" s="78" t="n"/>
      <c r="F262" s="73" t="n"/>
      <c r="G262" s="77" t="n"/>
      <c r="H262" s="85">
        <f>IF(OR($F262="",$G262=""),"",ROUND($F262*$G262,2))</f>
        <v/>
      </c>
      <c r="I262" s="85">
        <f>IF($F262="","",ROUND($F262*(1+IF($G262="",0,$G262)),2))</f>
        <v/>
      </c>
      <c r="J262" s="69" t="n"/>
      <c r="K262" s="86">
        <f>IF($B262="","",MONTH($B262))</f>
        <v/>
      </c>
      <c r="L262" s="2" t="n"/>
      <c r="M262" s="2" t="n"/>
      <c r="N262" s="2" t="n"/>
      <c r="O262" s="2" t="n"/>
      <c r="P262" s="2" t="n"/>
    </row>
    <row r="263">
      <c r="A263" s="2" t="n"/>
      <c r="B263" s="84" t="n"/>
      <c r="C263" s="78" t="n"/>
      <c r="D263" s="78" t="n"/>
      <c r="E263" s="78" t="n"/>
      <c r="F263" s="73" t="n"/>
      <c r="G263" s="77" t="n"/>
      <c r="H263" s="87">
        <f>IF(OR($F263="",$G263=""),"",ROUND($F263*$G263,2))</f>
        <v/>
      </c>
      <c r="I263" s="87">
        <f>IF($F263="","",ROUND($F263*(1+IF($G263="",0,$G263)),2))</f>
        <v/>
      </c>
      <c r="J263" s="69" t="n"/>
      <c r="K263" s="88">
        <f>IF($B263="","",MONTH($B263))</f>
        <v/>
      </c>
      <c r="L263" s="2" t="n"/>
      <c r="M263" s="2" t="n"/>
      <c r="N263" s="2" t="n"/>
      <c r="O263" s="2" t="n"/>
      <c r="P263" s="2" t="n"/>
    </row>
    <row r="264">
      <c r="A264" s="2" t="n"/>
      <c r="B264" s="84" t="n"/>
      <c r="C264" s="78" t="n"/>
      <c r="D264" s="78" t="n"/>
      <c r="E264" s="78" t="n"/>
      <c r="F264" s="73" t="n"/>
      <c r="G264" s="77" t="n"/>
      <c r="H264" s="85">
        <f>IF(OR($F264="",$G264=""),"",ROUND($F264*$G264,2))</f>
        <v/>
      </c>
      <c r="I264" s="85">
        <f>IF($F264="","",ROUND($F264*(1+IF($G264="",0,$G264)),2))</f>
        <v/>
      </c>
      <c r="J264" s="69" t="n"/>
      <c r="K264" s="86">
        <f>IF($B264="","",MONTH($B264))</f>
        <v/>
      </c>
      <c r="L264" s="2" t="n"/>
      <c r="M264" s="2" t="n"/>
      <c r="N264" s="2" t="n"/>
      <c r="O264" s="2" t="n"/>
      <c r="P264" s="2" t="n"/>
    </row>
    <row r="265">
      <c r="A265" s="2" t="n"/>
      <c r="B265" s="84" t="n"/>
      <c r="C265" s="78" t="n"/>
      <c r="D265" s="78" t="n"/>
      <c r="E265" s="78" t="n"/>
      <c r="F265" s="73" t="n"/>
      <c r="G265" s="77" t="n"/>
      <c r="H265" s="87">
        <f>IF(OR($F265="",$G265=""),"",ROUND($F265*$G265,2))</f>
        <v/>
      </c>
      <c r="I265" s="87">
        <f>IF($F265="","",ROUND($F265*(1+IF($G265="",0,$G265)),2))</f>
        <v/>
      </c>
      <c r="J265" s="69" t="n"/>
      <c r="K265" s="88">
        <f>IF($B265="","",MONTH($B265))</f>
        <v/>
      </c>
      <c r="L265" s="2" t="n"/>
      <c r="M265" s="2" t="n"/>
      <c r="N265" s="2" t="n"/>
      <c r="O265" s="2" t="n"/>
      <c r="P265" s="2" t="n"/>
    </row>
    <row r="266">
      <c r="A266" s="2" t="n"/>
      <c r="B266" s="84" t="n"/>
      <c r="C266" s="78" t="n"/>
      <c r="D266" s="78" t="n"/>
      <c r="E266" s="78" t="n"/>
      <c r="F266" s="73" t="n"/>
      <c r="G266" s="77" t="n"/>
      <c r="H266" s="85">
        <f>IF(OR($F266="",$G266=""),"",ROUND($F266*$G266,2))</f>
        <v/>
      </c>
      <c r="I266" s="85">
        <f>IF($F266="","",ROUND($F266*(1+IF($G266="",0,$G266)),2))</f>
        <v/>
      </c>
      <c r="J266" s="69" t="n"/>
      <c r="K266" s="86">
        <f>IF($B266="","",MONTH($B266))</f>
        <v/>
      </c>
      <c r="L266" s="2" t="n"/>
      <c r="M266" s="2" t="n"/>
      <c r="N266" s="2" t="n"/>
      <c r="O266" s="2" t="n"/>
      <c r="P266" s="2" t="n"/>
    </row>
    <row r="267">
      <c r="A267" s="2" t="n"/>
      <c r="B267" s="84" t="n"/>
      <c r="C267" s="78" t="n"/>
      <c r="D267" s="78" t="n"/>
      <c r="E267" s="78" t="n"/>
      <c r="F267" s="73" t="n"/>
      <c r="G267" s="77" t="n"/>
      <c r="H267" s="87">
        <f>IF(OR($F267="",$G267=""),"",ROUND($F267*$G267,2))</f>
        <v/>
      </c>
      <c r="I267" s="87">
        <f>IF($F267="","",ROUND($F267*(1+IF($G267="",0,$G267)),2))</f>
        <v/>
      </c>
      <c r="J267" s="69" t="n"/>
      <c r="K267" s="88">
        <f>IF($B267="","",MONTH($B267))</f>
        <v/>
      </c>
      <c r="L267" s="2" t="n"/>
      <c r="M267" s="2" t="n"/>
      <c r="N267" s="2" t="n"/>
      <c r="O267" s="2" t="n"/>
      <c r="P267" s="2" t="n"/>
    </row>
    <row r="268">
      <c r="A268" s="2" t="n"/>
      <c r="B268" s="84" t="n"/>
      <c r="C268" s="78" t="n"/>
      <c r="D268" s="78" t="n"/>
      <c r="E268" s="78" t="n"/>
      <c r="F268" s="73" t="n"/>
      <c r="G268" s="77" t="n"/>
      <c r="H268" s="85">
        <f>IF(OR($F268="",$G268=""),"",ROUND($F268*$G268,2))</f>
        <v/>
      </c>
      <c r="I268" s="85">
        <f>IF($F268="","",ROUND($F268*(1+IF($G268="",0,$G268)),2))</f>
        <v/>
      </c>
      <c r="J268" s="69" t="n"/>
      <c r="K268" s="86">
        <f>IF($B268="","",MONTH($B268))</f>
        <v/>
      </c>
      <c r="L268" s="2" t="n"/>
      <c r="M268" s="2" t="n"/>
      <c r="N268" s="2" t="n"/>
      <c r="O268" s="2" t="n"/>
      <c r="P268" s="2" t="n"/>
    </row>
    <row r="269">
      <c r="A269" s="2" t="n"/>
      <c r="B269" s="84" t="n"/>
      <c r="C269" s="78" t="n"/>
      <c r="D269" s="78" t="n"/>
      <c r="E269" s="78" t="n"/>
      <c r="F269" s="73" t="n"/>
      <c r="G269" s="77" t="n"/>
      <c r="H269" s="87">
        <f>IF(OR($F269="",$G269=""),"",ROUND($F269*$G269,2))</f>
        <v/>
      </c>
      <c r="I269" s="87">
        <f>IF($F269="","",ROUND($F269*(1+IF($G269="",0,$G269)),2))</f>
        <v/>
      </c>
      <c r="J269" s="69" t="n"/>
      <c r="K269" s="88">
        <f>IF($B269="","",MONTH($B269))</f>
        <v/>
      </c>
      <c r="L269" s="2" t="n"/>
      <c r="M269" s="2" t="n"/>
      <c r="N269" s="2" t="n"/>
      <c r="O269" s="2" t="n"/>
      <c r="P269" s="2" t="n"/>
    </row>
    <row r="270">
      <c r="A270" s="2" t="n"/>
      <c r="B270" s="84" t="n"/>
      <c r="C270" s="78" t="n"/>
      <c r="D270" s="78" t="n"/>
      <c r="E270" s="78" t="n"/>
      <c r="F270" s="73" t="n"/>
      <c r="G270" s="77" t="n"/>
      <c r="H270" s="85">
        <f>IF(OR($F270="",$G270=""),"",ROUND($F270*$G270,2))</f>
        <v/>
      </c>
      <c r="I270" s="85">
        <f>IF($F270="","",ROUND($F270*(1+IF($G270="",0,$G270)),2))</f>
        <v/>
      </c>
      <c r="J270" s="69" t="n"/>
      <c r="K270" s="86">
        <f>IF($B270="","",MONTH($B270))</f>
        <v/>
      </c>
      <c r="L270" s="2" t="n"/>
      <c r="M270" s="2" t="n"/>
      <c r="N270" s="2" t="n"/>
      <c r="O270" s="2" t="n"/>
      <c r="P270" s="2" t="n"/>
    </row>
    <row r="271">
      <c r="A271" s="2" t="n"/>
      <c r="B271" s="84" t="n"/>
      <c r="C271" s="78" t="n"/>
      <c r="D271" s="78" t="n"/>
      <c r="E271" s="78" t="n"/>
      <c r="F271" s="73" t="n"/>
      <c r="G271" s="77" t="n"/>
      <c r="H271" s="87">
        <f>IF(OR($F271="",$G271=""),"",ROUND($F271*$G271,2))</f>
        <v/>
      </c>
      <c r="I271" s="87">
        <f>IF($F271="","",ROUND($F271*(1+IF($G271="",0,$G271)),2))</f>
        <v/>
      </c>
      <c r="J271" s="69" t="n"/>
      <c r="K271" s="88">
        <f>IF($B271="","",MONTH($B271))</f>
        <v/>
      </c>
      <c r="L271" s="2" t="n"/>
      <c r="M271" s="2" t="n"/>
      <c r="N271" s="2" t="n"/>
      <c r="O271" s="2" t="n"/>
      <c r="P271" s="2" t="n"/>
    </row>
    <row r="272">
      <c r="A272" s="2" t="n"/>
      <c r="B272" s="84" t="n"/>
      <c r="C272" s="78" t="n"/>
      <c r="D272" s="78" t="n"/>
      <c r="E272" s="78" t="n"/>
      <c r="F272" s="73" t="n"/>
      <c r="G272" s="77" t="n"/>
      <c r="H272" s="85">
        <f>IF(OR($F272="",$G272=""),"",ROUND($F272*$G272,2))</f>
        <v/>
      </c>
      <c r="I272" s="85">
        <f>IF($F272="","",ROUND($F272*(1+IF($G272="",0,$G272)),2))</f>
        <v/>
      </c>
      <c r="J272" s="69" t="n"/>
      <c r="K272" s="86">
        <f>IF($B272="","",MONTH($B272))</f>
        <v/>
      </c>
      <c r="L272" s="2" t="n"/>
      <c r="M272" s="2" t="n"/>
      <c r="N272" s="2" t="n"/>
      <c r="O272" s="2" t="n"/>
      <c r="P272" s="2" t="n"/>
    </row>
    <row r="273">
      <c r="A273" s="2" t="n"/>
      <c r="B273" s="84" t="n"/>
      <c r="C273" s="78" t="n"/>
      <c r="D273" s="78" t="n"/>
      <c r="E273" s="78" t="n"/>
      <c r="F273" s="73" t="n"/>
      <c r="G273" s="77" t="n"/>
      <c r="H273" s="87">
        <f>IF(OR($F273="",$G273=""),"",ROUND($F273*$G273,2))</f>
        <v/>
      </c>
      <c r="I273" s="87">
        <f>IF($F273="","",ROUND($F273*(1+IF($G273="",0,$G273)),2))</f>
        <v/>
      </c>
      <c r="J273" s="69" t="n"/>
      <c r="K273" s="88">
        <f>IF($B273="","",MONTH($B273))</f>
        <v/>
      </c>
      <c r="L273" s="2" t="n"/>
      <c r="M273" s="2" t="n"/>
      <c r="N273" s="2" t="n"/>
      <c r="O273" s="2" t="n"/>
      <c r="P273" s="2" t="n"/>
    </row>
    <row r="274">
      <c r="A274" s="2" t="n"/>
      <c r="B274" s="84" t="n"/>
      <c r="C274" s="78" t="n"/>
      <c r="D274" s="78" t="n"/>
      <c r="E274" s="78" t="n"/>
      <c r="F274" s="73" t="n"/>
      <c r="G274" s="77" t="n"/>
      <c r="H274" s="85">
        <f>IF(OR($F274="",$G274=""),"",ROUND($F274*$G274,2))</f>
        <v/>
      </c>
      <c r="I274" s="85">
        <f>IF($F274="","",ROUND($F274*(1+IF($G274="",0,$G274)),2))</f>
        <v/>
      </c>
      <c r="J274" s="69" t="n"/>
      <c r="K274" s="86">
        <f>IF($B274="","",MONTH($B274))</f>
        <v/>
      </c>
      <c r="L274" s="2" t="n"/>
      <c r="M274" s="2" t="n"/>
      <c r="N274" s="2" t="n"/>
      <c r="O274" s="2" t="n"/>
      <c r="P274" s="2" t="n"/>
    </row>
    <row r="275">
      <c r="A275" s="2" t="n"/>
      <c r="B275" s="84" t="n"/>
      <c r="C275" s="78" t="n"/>
      <c r="D275" s="78" t="n"/>
      <c r="E275" s="78" t="n"/>
      <c r="F275" s="73" t="n"/>
      <c r="G275" s="77" t="n"/>
      <c r="H275" s="87">
        <f>IF(OR($F275="",$G275=""),"",ROUND($F275*$G275,2))</f>
        <v/>
      </c>
      <c r="I275" s="87">
        <f>IF($F275="","",ROUND($F275*(1+IF($G275="",0,$G275)),2))</f>
        <v/>
      </c>
      <c r="J275" s="69" t="n"/>
      <c r="K275" s="88">
        <f>IF($B275="","",MONTH($B275))</f>
        <v/>
      </c>
      <c r="L275" s="2" t="n"/>
      <c r="M275" s="2" t="n"/>
      <c r="N275" s="2" t="n"/>
      <c r="O275" s="2" t="n"/>
      <c r="P275" s="2" t="n"/>
    </row>
    <row r="276">
      <c r="A276" s="2" t="n"/>
      <c r="B276" s="84" t="n"/>
      <c r="C276" s="78" t="n"/>
      <c r="D276" s="78" t="n"/>
      <c r="E276" s="78" t="n"/>
      <c r="F276" s="73" t="n"/>
      <c r="G276" s="77" t="n"/>
      <c r="H276" s="85">
        <f>IF(OR($F276="",$G276=""),"",ROUND($F276*$G276,2))</f>
        <v/>
      </c>
      <c r="I276" s="85">
        <f>IF($F276="","",ROUND($F276*(1+IF($G276="",0,$G276)),2))</f>
        <v/>
      </c>
      <c r="J276" s="69" t="n"/>
      <c r="K276" s="86">
        <f>IF($B276="","",MONTH($B276))</f>
        <v/>
      </c>
      <c r="L276" s="2" t="n"/>
      <c r="M276" s="2" t="n"/>
      <c r="N276" s="2" t="n"/>
      <c r="O276" s="2" t="n"/>
      <c r="P276" s="2" t="n"/>
    </row>
    <row r="277">
      <c r="A277" s="2" t="n"/>
      <c r="B277" s="84" t="n"/>
      <c r="C277" s="78" t="n"/>
      <c r="D277" s="78" t="n"/>
      <c r="E277" s="78" t="n"/>
      <c r="F277" s="73" t="n"/>
      <c r="G277" s="77" t="n"/>
      <c r="H277" s="87">
        <f>IF(OR($F277="",$G277=""),"",ROUND($F277*$G277,2))</f>
        <v/>
      </c>
      <c r="I277" s="87">
        <f>IF($F277="","",ROUND($F277*(1+IF($G277="",0,$G277)),2))</f>
        <v/>
      </c>
      <c r="J277" s="69" t="n"/>
      <c r="K277" s="88">
        <f>IF($B277="","",MONTH($B277))</f>
        <v/>
      </c>
      <c r="L277" s="2" t="n"/>
      <c r="M277" s="2" t="n"/>
      <c r="N277" s="2" t="n"/>
      <c r="O277" s="2" t="n"/>
      <c r="P277" s="2" t="n"/>
    </row>
    <row r="278">
      <c r="A278" s="2" t="n"/>
      <c r="B278" s="84" t="n"/>
      <c r="C278" s="78" t="n"/>
      <c r="D278" s="78" t="n"/>
      <c r="E278" s="78" t="n"/>
      <c r="F278" s="73" t="n"/>
      <c r="G278" s="77" t="n"/>
      <c r="H278" s="85">
        <f>IF(OR($F278="",$G278=""),"",ROUND($F278*$G278,2))</f>
        <v/>
      </c>
      <c r="I278" s="85">
        <f>IF($F278="","",ROUND($F278*(1+IF($G278="",0,$G278)),2))</f>
        <v/>
      </c>
      <c r="J278" s="69" t="n"/>
      <c r="K278" s="86">
        <f>IF($B278="","",MONTH($B278))</f>
        <v/>
      </c>
      <c r="L278" s="2" t="n"/>
      <c r="M278" s="2" t="n"/>
      <c r="N278" s="2" t="n"/>
      <c r="O278" s="2" t="n"/>
      <c r="P278" s="2" t="n"/>
    </row>
    <row r="279">
      <c r="A279" s="2" t="n"/>
      <c r="B279" s="84" t="n"/>
      <c r="C279" s="78" t="n"/>
      <c r="D279" s="78" t="n"/>
      <c r="E279" s="78" t="n"/>
      <c r="F279" s="73" t="n"/>
      <c r="G279" s="77" t="n"/>
      <c r="H279" s="87">
        <f>IF(OR($F279="",$G279=""),"",ROUND($F279*$G279,2))</f>
        <v/>
      </c>
      <c r="I279" s="87">
        <f>IF($F279="","",ROUND($F279*(1+IF($G279="",0,$G279)),2))</f>
        <v/>
      </c>
      <c r="J279" s="69" t="n"/>
      <c r="K279" s="88">
        <f>IF($B279="","",MONTH($B279))</f>
        <v/>
      </c>
      <c r="L279" s="2" t="n"/>
      <c r="M279" s="2" t="n"/>
      <c r="N279" s="2" t="n"/>
      <c r="O279" s="2" t="n"/>
      <c r="P279" s="2" t="n"/>
    </row>
    <row r="280">
      <c r="A280" s="2" t="n"/>
      <c r="B280" s="84" t="n"/>
      <c r="C280" s="78" t="n"/>
      <c r="D280" s="78" t="n"/>
      <c r="E280" s="78" t="n"/>
      <c r="F280" s="73" t="n"/>
      <c r="G280" s="77" t="n"/>
      <c r="H280" s="85">
        <f>IF(OR($F280="",$G280=""),"",ROUND($F280*$G280,2))</f>
        <v/>
      </c>
      <c r="I280" s="85">
        <f>IF($F280="","",ROUND($F280*(1+IF($G280="",0,$G280)),2))</f>
        <v/>
      </c>
      <c r="J280" s="69" t="n"/>
      <c r="K280" s="86">
        <f>IF($B280="","",MONTH($B280))</f>
        <v/>
      </c>
      <c r="L280" s="2" t="n"/>
      <c r="M280" s="2" t="n"/>
      <c r="N280" s="2" t="n"/>
      <c r="O280" s="2" t="n"/>
      <c r="P280" s="2" t="n"/>
    </row>
    <row r="281">
      <c r="A281" s="2" t="n"/>
      <c r="B281" s="84" t="n"/>
      <c r="C281" s="78" t="n"/>
      <c r="D281" s="78" t="n"/>
      <c r="E281" s="78" t="n"/>
      <c r="F281" s="73" t="n"/>
      <c r="G281" s="77" t="n"/>
      <c r="H281" s="87">
        <f>IF(OR($F281="",$G281=""),"",ROUND($F281*$G281,2))</f>
        <v/>
      </c>
      <c r="I281" s="87">
        <f>IF($F281="","",ROUND($F281*(1+IF($G281="",0,$G281)),2))</f>
        <v/>
      </c>
      <c r="J281" s="69" t="n"/>
      <c r="K281" s="88">
        <f>IF($B281="","",MONTH($B281))</f>
        <v/>
      </c>
      <c r="L281" s="2" t="n"/>
      <c r="M281" s="2" t="n"/>
      <c r="N281" s="2" t="n"/>
      <c r="O281" s="2" t="n"/>
      <c r="P281" s="2" t="n"/>
    </row>
    <row r="282">
      <c r="A282" s="2" t="n"/>
      <c r="B282" s="84" t="n"/>
      <c r="C282" s="78" t="n"/>
      <c r="D282" s="78" t="n"/>
      <c r="E282" s="78" t="n"/>
      <c r="F282" s="73" t="n"/>
      <c r="G282" s="77" t="n"/>
      <c r="H282" s="85">
        <f>IF(OR($F282="",$G282=""),"",ROUND($F282*$G282,2))</f>
        <v/>
      </c>
      <c r="I282" s="85">
        <f>IF($F282="","",ROUND($F282*(1+IF($G282="",0,$G282)),2))</f>
        <v/>
      </c>
      <c r="J282" s="69" t="n"/>
      <c r="K282" s="86">
        <f>IF($B282="","",MONTH($B282))</f>
        <v/>
      </c>
      <c r="L282" s="2" t="n"/>
      <c r="M282" s="2" t="n"/>
      <c r="N282" s="2" t="n"/>
      <c r="O282" s="2" t="n"/>
      <c r="P282" s="2" t="n"/>
    </row>
    <row r="283">
      <c r="A283" s="2" t="n"/>
      <c r="B283" s="84" t="n"/>
      <c r="C283" s="78" t="n"/>
      <c r="D283" s="78" t="n"/>
      <c r="E283" s="78" t="n"/>
      <c r="F283" s="73" t="n"/>
      <c r="G283" s="77" t="n"/>
      <c r="H283" s="87">
        <f>IF(OR($F283="",$G283=""),"",ROUND($F283*$G283,2))</f>
        <v/>
      </c>
      <c r="I283" s="87">
        <f>IF($F283="","",ROUND($F283*(1+IF($G283="",0,$G283)),2))</f>
        <v/>
      </c>
      <c r="J283" s="69" t="n"/>
      <c r="K283" s="88">
        <f>IF($B283="","",MONTH($B283))</f>
        <v/>
      </c>
      <c r="L283" s="2" t="n"/>
      <c r="M283" s="2" t="n"/>
      <c r="N283" s="2" t="n"/>
      <c r="O283" s="2" t="n"/>
      <c r="P283" s="2" t="n"/>
    </row>
    <row r="284">
      <c r="A284" s="2" t="n"/>
      <c r="B284" s="84" t="n"/>
      <c r="C284" s="78" t="n"/>
      <c r="D284" s="78" t="n"/>
      <c r="E284" s="78" t="n"/>
      <c r="F284" s="73" t="n"/>
      <c r="G284" s="77" t="n"/>
      <c r="H284" s="85">
        <f>IF(OR($F284="",$G284=""),"",ROUND($F284*$G284,2))</f>
        <v/>
      </c>
      <c r="I284" s="85">
        <f>IF($F284="","",ROUND($F284*(1+IF($G284="",0,$G284)),2))</f>
        <v/>
      </c>
      <c r="J284" s="69" t="n"/>
      <c r="K284" s="86">
        <f>IF($B284="","",MONTH($B284))</f>
        <v/>
      </c>
      <c r="L284" s="2" t="n"/>
      <c r="M284" s="2" t="n"/>
      <c r="N284" s="2" t="n"/>
      <c r="O284" s="2" t="n"/>
      <c r="P284" s="2" t="n"/>
    </row>
    <row r="285">
      <c r="A285" s="2" t="n"/>
      <c r="B285" s="84" t="n"/>
      <c r="C285" s="78" t="n"/>
      <c r="D285" s="78" t="n"/>
      <c r="E285" s="78" t="n"/>
      <c r="F285" s="73" t="n"/>
      <c r="G285" s="77" t="n"/>
      <c r="H285" s="87">
        <f>IF(OR($F285="",$G285=""),"",ROUND($F285*$G285,2))</f>
        <v/>
      </c>
      <c r="I285" s="87">
        <f>IF($F285="","",ROUND($F285*(1+IF($G285="",0,$G285)),2))</f>
        <v/>
      </c>
      <c r="J285" s="69" t="n"/>
      <c r="K285" s="88">
        <f>IF($B285="","",MONTH($B285))</f>
        <v/>
      </c>
      <c r="L285" s="2" t="n"/>
      <c r="M285" s="2" t="n"/>
      <c r="N285" s="2" t="n"/>
      <c r="O285" s="2" t="n"/>
      <c r="P285" s="2" t="n"/>
    </row>
    <row r="286">
      <c r="A286" s="2" t="n"/>
      <c r="B286" s="84" t="n"/>
      <c r="C286" s="78" t="n"/>
      <c r="D286" s="78" t="n"/>
      <c r="E286" s="78" t="n"/>
      <c r="F286" s="73" t="n"/>
      <c r="G286" s="77" t="n"/>
      <c r="H286" s="85">
        <f>IF(OR($F286="",$G286=""),"",ROUND($F286*$G286,2))</f>
        <v/>
      </c>
      <c r="I286" s="85">
        <f>IF($F286="","",ROUND($F286*(1+IF($G286="",0,$G286)),2))</f>
        <v/>
      </c>
      <c r="J286" s="69" t="n"/>
      <c r="K286" s="86">
        <f>IF($B286="","",MONTH($B286))</f>
        <v/>
      </c>
      <c r="L286" s="2" t="n"/>
      <c r="M286" s="2" t="n"/>
      <c r="N286" s="2" t="n"/>
      <c r="O286" s="2" t="n"/>
      <c r="P286" s="2" t="n"/>
    </row>
    <row r="287">
      <c r="A287" s="2" t="n"/>
      <c r="B287" s="84" t="n"/>
      <c r="C287" s="78" t="n"/>
      <c r="D287" s="78" t="n"/>
      <c r="E287" s="78" t="n"/>
      <c r="F287" s="73" t="n"/>
      <c r="G287" s="77" t="n"/>
      <c r="H287" s="87">
        <f>IF(OR($F287="",$G287=""),"",ROUND($F287*$G287,2))</f>
        <v/>
      </c>
      <c r="I287" s="87">
        <f>IF($F287="","",ROUND($F287*(1+IF($G287="",0,$G287)),2))</f>
        <v/>
      </c>
      <c r="J287" s="69" t="n"/>
      <c r="K287" s="88">
        <f>IF($B287="","",MONTH($B287))</f>
        <v/>
      </c>
      <c r="L287" s="2" t="n"/>
      <c r="M287" s="2" t="n"/>
      <c r="N287" s="2" t="n"/>
      <c r="O287" s="2" t="n"/>
      <c r="P287" s="2" t="n"/>
    </row>
    <row r="288">
      <c r="A288" s="2" t="n"/>
      <c r="B288" s="84" t="n"/>
      <c r="C288" s="78" t="n"/>
      <c r="D288" s="78" t="n"/>
      <c r="E288" s="78" t="n"/>
      <c r="F288" s="73" t="n"/>
      <c r="G288" s="77" t="n"/>
      <c r="H288" s="85">
        <f>IF(OR($F288="",$G288=""),"",ROUND($F288*$G288,2))</f>
        <v/>
      </c>
      <c r="I288" s="85">
        <f>IF($F288="","",ROUND($F288*(1+IF($G288="",0,$G288)),2))</f>
        <v/>
      </c>
      <c r="J288" s="69" t="n"/>
      <c r="K288" s="86">
        <f>IF($B288="","",MONTH($B288))</f>
        <v/>
      </c>
      <c r="L288" s="2" t="n"/>
      <c r="M288" s="2" t="n"/>
      <c r="N288" s="2" t="n"/>
      <c r="O288" s="2" t="n"/>
      <c r="P288" s="2" t="n"/>
    </row>
    <row r="289">
      <c r="A289" s="2" t="n"/>
      <c r="B289" s="84" t="n"/>
      <c r="C289" s="78" t="n"/>
      <c r="D289" s="78" t="n"/>
      <c r="E289" s="78" t="n"/>
      <c r="F289" s="73" t="n"/>
      <c r="G289" s="77" t="n"/>
      <c r="H289" s="87">
        <f>IF(OR($F289="",$G289=""),"",ROUND($F289*$G289,2))</f>
        <v/>
      </c>
      <c r="I289" s="87">
        <f>IF($F289="","",ROUND($F289*(1+IF($G289="",0,$G289)),2))</f>
        <v/>
      </c>
      <c r="J289" s="69" t="n"/>
      <c r="K289" s="88">
        <f>IF($B289="","",MONTH($B289))</f>
        <v/>
      </c>
      <c r="L289" s="2" t="n"/>
      <c r="M289" s="2" t="n"/>
      <c r="N289" s="2" t="n"/>
      <c r="O289" s="2" t="n"/>
      <c r="P289" s="2" t="n"/>
    </row>
    <row r="290">
      <c r="A290" s="2" t="n"/>
      <c r="B290" s="84" t="n"/>
      <c r="C290" s="78" t="n"/>
      <c r="D290" s="78" t="n"/>
      <c r="E290" s="78" t="n"/>
      <c r="F290" s="73" t="n"/>
      <c r="G290" s="77" t="n"/>
      <c r="H290" s="85">
        <f>IF(OR($F290="",$G290=""),"",ROUND($F290*$G290,2))</f>
        <v/>
      </c>
      <c r="I290" s="85">
        <f>IF($F290="","",ROUND($F290*(1+IF($G290="",0,$G290)),2))</f>
        <v/>
      </c>
      <c r="J290" s="69" t="n"/>
      <c r="K290" s="86">
        <f>IF($B290="","",MONTH($B290))</f>
        <v/>
      </c>
      <c r="L290" s="2" t="n"/>
      <c r="M290" s="2" t="n"/>
      <c r="N290" s="2" t="n"/>
      <c r="O290" s="2" t="n"/>
      <c r="P290" s="2" t="n"/>
    </row>
    <row r="291">
      <c r="A291" s="2" t="n"/>
      <c r="B291" s="84" t="n"/>
      <c r="C291" s="78" t="n"/>
      <c r="D291" s="78" t="n"/>
      <c r="E291" s="78" t="n"/>
      <c r="F291" s="73" t="n"/>
      <c r="G291" s="77" t="n"/>
      <c r="H291" s="87">
        <f>IF(OR($F291="",$G291=""),"",ROUND($F291*$G291,2))</f>
        <v/>
      </c>
      <c r="I291" s="87">
        <f>IF($F291="","",ROUND($F291*(1+IF($G291="",0,$G291)),2))</f>
        <v/>
      </c>
      <c r="J291" s="69" t="n"/>
      <c r="K291" s="88">
        <f>IF($B291="","",MONTH($B291))</f>
        <v/>
      </c>
      <c r="L291" s="2" t="n"/>
      <c r="M291" s="2" t="n"/>
      <c r="N291" s="2" t="n"/>
      <c r="O291" s="2" t="n"/>
      <c r="P291" s="2" t="n"/>
    </row>
    <row r="292">
      <c r="A292" s="2" t="n"/>
      <c r="B292" s="84" t="n"/>
      <c r="C292" s="78" t="n"/>
      <c r="D292" s="78" t="n"/>
      <c r="E292" s="78" t="n"/>
      <c r="F292" s="73" t="n"/>
      <c r="G292" s="77" t="n"/>
      <c r="H292" s="85">
        <f>IF(OR($F292="",$G292=""),"",ROUND($F292*$G292,2))</f>
        <v/>
      </c>
      <c r="I292" s="85">
        <f>IF($F292="","",ROUND($F292*(1+IF($G292="",0,$G292)),2))</f>
        <v/>
      </c>
      <c r="J292" s="69" t="n"/>
      <c r="K292" s="86">
        <f>IF($B292="","",MONTH($B292))</f>
        <v/>
      </c>
      <c r="L292" s="2" t="n"/>
      <c r="M292" s="2" t="n"/>
      <c r="N292" s="2" t="n"/>
      <c r="O292" s="2" t="n"/>
      <c r="P292" s="2" t="n"/>
    </row>
    <row r="293">
      <c r="A293" s="2" t="n"/>
      <c r="B293" s="84" t="n"/>
      <c r="C293" s="78" t="n"/>
      <c r="D293" s="78" t="n"/>
      <c r="E293" s="78" t="n"/>
      <c r="F293" s="73" t="n"/>
      <c r="G293" s="77" t="n"/>
      <c r="H293" s="87">
        <f>IF(OR($F293="",$G293=""),"",ROUND($F293*$G293,2))</f>
        <v/>
      </c>
      <c r="I293" s="87">
        <f>IF($F293="","",ROUND($F293*(1+IF($G293="",0,$G293)),2))</f>
        <v/>
      </c>
      <c r="J293" s="69" t="n"/>
      <c r="K293" s="88">
        <f>IF($B293="","",MONTH($B293))</f>
        <v/>
      </c>
      <c r="L293" s="2" t="n"/>
      <c r="M293" s="2" t="n"/>
      <c r="N293" s="2" t="n"/>
      <c r="O293" s="2" t="n"/>
      <c r="P293" s="2" t="n"/>
    </row>
    <row r="294">
      <c r="A294" s="2" t="n"/>
      <c r="B294" s="84" t="n"/>
      <c r="C294" s="78" t="n"/>
      <c r="D294" s="78" t="n"/>
      <c r="E294" s="78" t="n"/>
      <c r="F294" s="73" t="n"/>
      <c r="G294" s="77" t="n"/>
      <c r="H294" s="85">
        <f>IF(OR($F294="",$G294=""),"",ROUND($F294*$G294,2))</f>
        <v/>
      </c>
      <c r="I294" s="85">
        <f>IF($F294="","",ROUND($F294*(1+IF($G294="",0,$G294)),2))</f>
        <v/>
      </c>
      <c r="J294" s="69" t="n"/>
      <c r="K294" s="86">
        <f>IF($B294="","",MONTH($B294))</f>
        <v/>
      </c>
      <c r="L294" s="2" t="n"/>
      <c r="M294" s="2" t="n"/>
      <c r="N294" s="2" t="n"/>
      <c r="O294" s="2" t="n"/>
      <c r="P294" s="2" t="n"/>
    </row>
    <row r="295">
      <c r="A295" s="2" t="n"/>
      <c r="B295" s="84" t="n"/>
      <c r="C295" s="78" t="n"/>
      <c r="D295" s="78" t="n"/>
      <c r="E295" s="78" t="n"/>
      <c r="F295" s="73" t="n"/>
      <c r="G295" s="77" t="n"/>
      <c r="H295" s="87">
        <f>IF(OR($F295="",$G295=""),"",ROUND($F295*$G295,2))</f>
        <v/>
      </c>
      <c r="I295" s="87">
        <f>IF($F295="","",ROUND($F295*(1+IF($G295="",0,$G295)),2))</f>
        <v/>
      </c>
      <c r="J295" s="69" t="n"/>
      <c r="K295" s="88">
        <f>IF($B295="","",MONTH($B295))</f>
        <v/>
      </c>
      <c r="L295" s="2" t="n"/>
      <c r="M295" s="2" t="n"/>
      <c r="N295" s="2" t="n"/>
      <c r="O295" s="2" t="n"/>
      <c r="P295" s="2" t="n"/>
    </row>
    <row r="296">
      <c r="A296" s="2" t="n"/>
      <c r="B296" s="84" t="n"/>
      <c r="C296" s="78" t="n"/>
      <c r="D296" s="78" t="n"/>
      <c r="E296" s="78" t="n"/>
      <c r="F296" s="73" t="n"/>
      <c r="G296" s="77" t="n"/>
      <c r="H296" s="85">
        <f>IF(OR($F296="",$G296=""),"",ROUND($F296*$G296,2))</f>
        <v/>
      </c>
      <c r="I296" s="85">
        <f>IF($F296="","",ROUND($F296*(1+IF($G296="",0,$G296)),2))</f>
        <v/>
      </c>
      <c r="J296" s="69" t="n"/>
      <c r="K296" s="86">
        <f>IF($B296="","",MONTH($B296))</f>
        <v/>
      </c>
      <c r="L296" s="2" t="n"/>
      <c r="M296" s="2" t="n"/>
      <c r="N296" s="2" t="n"/>
      <c r="O296" s="2" t="n"/>
      <c r="P296" s="2" t="n"/>
    </row>
    <row r="297">
      <c r="A297" s="2" t="n"/>
      <c r="B297" s="84" t="n"/>
      <c r="C297" s="78" t="n"/>
      <c r="D297" s="78" t="n"/>
      <c r="E297" s="78" t="n"/>
      <c r="F297" s="73" t="n"/>
      <c r="G297" s="77" t="n"/>
      <c r="H297" s="87">
        <f>IF(OR($F297="",$G297=""),"",ROUND($F297*$G297,2))</f>
        <v/>
      </c>
      <c r="I297" s="87">
        <f>IF($F297="","",ROUND($F297*(1+IF($G297="",0,$G297)),2))</f>
        <v/>
      </c>
      <c r="J297" s="69" t="n"/>
      <c r="K297" s="88">
        <f>IF($B297="","",MONTH($B297))</f>
        <v/>
      </c>
      <c r="L297" s="2" t="n"/>
      <c r="M297" s="2" t="n"/>
      <c r="N297" s="2" t="n"/>
      <c r="O297" s="2" t="n"/>
      <c r="P297" s="2" t="n"/>
    </row>
    <row r="298">
      <c r="A298" s="2" t="n"/>
      <c r="B298" s="84" t="n"/>
      <c r="C298" s="78" t="n"/>
      <c r="D298" s="78" t="n"/>
      <c r="E298" s="78" t="n"/>
      <c r="F298" s="73" t="n"/>
      <c r="G298" s="77" t="n"/>
      <c r="H298" s="85">
        <f>IF(OR($F298="",$G298=""),"",ROUND($F298*$G298,2))</f>
        <v/>
      </c>
      <c r="I298" s="85">
        <f>IF($F298="","",ROUND($F298*(1+IF($G298="",0,$G298)),2))</f>
        <v/>
      </c>
      <c r="J298" s="69" t="n"/>
      <c r="K298" s="86">
        <f>IF($B298="","",MONTH($B298))</f>
        <v/>
      </c>
      <c r="L298" s="2" t="n"/>
      <c r="M298" s="2" t="n"/>
      <c r="N298" s="2" t="n"/>
      <c r="O298" s="2" t="n"/>
      <c r="P298" s="2" t="n"/>
    </row>
    <row r="299">
      <c r="A299" s="2" t="n"/>
      <c r="B299" s="84" t="n"/>
      <c r="C299" s="78" t="n"/>
      <c r="D299" s="78" t="n"/>
      <c r="E299" s="78" t="n"/>
      <c r="F299" s="73" t="n"/>
      <c r="G299" s="77" t="n"/>
      <c r="H299" s="87">
        <f>IF(OR($F299="",$G299=""),"",ROUND($F299*$G299,2))</f>
        <v/>
      </c>
      <c r="I299" s="87">
        <f>IF($F299="","",ROUND($F299*(1+IF($G299="",0,$G299)),2))</f>
        <v/>
      </c>
      <c r="J299" s="69" t="n"/>
      <c r="K299" s="88">
        <f>IF($B299="","",MONTH($B299))</f>
        <v/>
      </c>
      <c r="L299" s="2" t="n"/>
      <c r="M299" s="2" t="n"/>
      <c r="N299" s="2" t="n"/>
      <c r="O299" s="2" t="n"/>
      <c r="P299" s="2" t="n"/>
    </row>
    <row r="300">
      <c r="A300" s="2" t="n"/>
      <c r="B300" s="84" t="n"/>
      <c r="C300" s="78" t="n"/>
      <c r="D300" s="78" t="n"/>
      <c r="E300" s="78" t="n"/>
      <c r="F300" s="73" t="n"/>
      <c r="G300" s="77" t="n"/>
      <c r="H300" s="85">
        <f>IF(OR($F300="",$G300=""),"",ROUND($F300*$G300,2))</f>
        <v/>
      </c>
      <c r="I300" s="85">
        <f>IF($F300="","",ROUND($F300*(1+IF($G300="",0,$G300)),2))</f>
        <v/>
      </c>
      <c r="J300" s="69" t="n"/>
      <c r="K300" s="86">
        <f>IF($B300="","",MONTH($B300))</f>
        <v/>
      </c>
      <c r="L300" s="2" t="n"/>
      <c r="M300" s="2" t="n"/>
      <c r="N300" s="2" t="n"/>
      <c r="O300" s="2" t="n"/>
      <c r="P300" s="2" t="n"/>
    </row>
    <row r="301">
      <c r="A301" s="2" t="n"/>
      <c r="B301" s="84" t="n"/>
      <c r="C301" s="78" t="n"/>
      <c r="D301" s="78" t="n"/>
      <c r="E301" s="78" t="n"/>
      <c r="F301" s="73" t="n"/>
      <c r="G301" s="77" t="n"/>
      <c r="H301" s="87">
        <f>IF(OR($F301="",$G301=""),"",ROUND($F301*$G301,2))</f>
        <v/>
      </c>
      <c r="I301" s="87">
        <f>IF($F301="","",ROUND($F301*(1+IF($G301="",0,$G301)),2))</f>
        <v/>
      </c>
      <c r="J301" s="69" t="n"/>
      <c r="K301" s="88">
        <f>IF($B301="","",MONTH($B301))</f>
        <v/>
      </c>
      <c r="L301" s="2" t="n"/>
      <c r="M301" s="2" t="n"/>
      <c r="N301" s="2" t="n"/>
      <c r="O301" s="2" t="n"/>
      <c r="P301" s="2" t="n"/>
    </row>
    <row r="302">
      <c r="A302" s="2" t="n"/>
      <c r="B302" s="84" t="n"/>
      <c r="C302" s="78" t="n"/>
      <c r="D302" s="78" t="n"/>
      <c r="E302" s="78" t="n"/>
      <c r="F302" s="73" t="n"/>
      <c r="G302" s="77" t="n"/>
      <c r="H302" s="85">
        <f>IF(OR($F302="",$G302=""),"",ROUND($F302*$G302,2))</f>
        <v/>
      </c>
      <c r="I302" s="85">
        <f>IF($F302="","",ROUND($F302*(1+IF($G302="",0,$G302)),2))</f>
        <v/>
      </c>
      <c r="J302" s="69" t="n"/>
      <c r="K302" s="86">
        <f>IF($B302="","",MONTH($B302))</f>
        <v/>
      </c>
      <c r="L302" s="2" t="n"/>
      <c r="M302" s="2" t="n"/>
      <c r="N302" s="2" t="n"/>
      <c r="O302" s="2" t="n"/>
      <c r="P302" s="2" t="n"/>
    </row>
    <row r="303">
      <c r="A303" s="2" t="n"/>
      <c r="B303" s="84" t="n"/>
      <c r="C303" s="78" t="n"/>
      <c r="D303" s="78" t="n"/>
      <c r="E303" s="78" t="n"/>
      <c r="F303" s="73" t="n"/>
      <c r="G303" s="77" t="n"/>
      <c r="H303" s="87">
        <f>IF(OR($F303="",$G303=""),"",ROUND($F303*$G303,2))</f>
        <v/>
      </c>
      <c r="I303" s="87">
        <f>IF($F303="","",ROUND($F303*(1+IF($G303="",0,$G303)),2))</f>
        <v/>
      </c>
      <c r="J303" s="69" t="n"/>
      <c r="K303" s="88">
        <f>IF($B303="","",MONTH($B303))</f>
        <v/>
      </c>
      <c r="L303" s="2" t="n"/>
      <c r="M303" s="2" t="n"/>
      <c r="N303" s="2" t="n"/>
      <c r="O303" s="2" t="n"/>
      <c r="P303" s="2" t="n"/>
    </row>
    <row r="304">
      <c r="A304" s="2" t="n"/>
      <c r="B304" s="84" t="n"/>
      <c r="C304" s="78" t="n"/>
      <c r="D304" s="78" t="n"/>
      <c r="E304" s="78" t="n"/>
      <c r="F304" s="73" t="n"/>
      <c r="G304" s="77" t="n"/>
      <c r="H304" s="85">
        <f>IF(OR($F304="",$G304=""),"",ROUND($F304*$G304,2))</f>
        <v/>
      </c>
      <c r="I304" s="85">
        <f>IF($F304="","",ROUND($F304*(1+IF($G304="",0,$G304)),2))</f>
        <v/>
      </c>
      <c r="J304" s="69" t="n"/>
      <c r="K304" s="86">
        <f>IF($B304="","",MONTH($B304))</f>
        <v/>
      </c>
      <c r="L304" s="2" t="n"/>
      <c r="M304" s="2" t="n"/>
      <c r="N304" s="2" t="n"/>
      <c r="O304" s="2" t="n"/>
      <c r="P304" s="2" t="n"/>
    </row>
    <row r="305">
      <c r="A305" s="2" t="n"/>
      <c r="B305" s="84" t="n"/>
      <c r="C305" s="78" t="n"/>
      <c r="D305" s="78" t="n"/>
      <c r="E305" s="78" t="n"/>
      <c r="F305" s="73" t="n"/>
      <c r="G305" s="77" t="n"/>
      <c r="H305" s="87">
        <f>IF(OR($F305="",$G305=""),"",ROUND($F305*$G305,2))</f>
        <v/>
      </c>
      <c r="I305" s="87">
        <f>IF($F305="","",ROUND($F305*(1+IF($G305="",0,$G305)),2))</f>
        <v/>
      </c>
      <c r="J305" s="69" t="n"/>
      <c r="K305" s="88">
        <f>IF($B305="","",MONTH($B305))</f>
        <v/>
      </c>
      <c r="L305" s="2" t="n"/>
      <c r="M305" s="2" t="n"/>
      <c r="N305" s="2" t="n"/>
      <c r="O305" s="2" t="n"/>
      <c r="P305" s="2" t="n"/>
    </row>
    <row r="306">
      <c r="A306" s="2" t="n"/>
      <c r="B306" s="84" t="n"/>
      <c r="C306" s="78" t="n"/>
      <c r="D306" s="78" t="n"/>
      <c r="E306" s="78" t="n"/>
      <c r="F306" s="73" t="n"/>
      <c r="G306" s="77" t="n"/>
      <c r="H306" s="85">
        <f>IF(OR($F306="",$G306=""),"",ROUND($F306*$G306,2))</f>
        <v/>
      </c>
      <c r="I306" s="85">
        <f>IF($F306="","",ROUND($F306*(1+IF($G306="",0,$G306)),2))</f>
        <v/>
      </c>
      <c r="J306" s="69" t="n"/>
      <c r="K306" s="86">
        <f>IF($B306="","",MONTH($B306))</f>
        <v/>
      </c>
      <c r="L306" s="2" t="n"/>
      <c r="M306" s="2" t="n"/>
      <c r="N306" s="2" t="n"/>
      <c r="O306" s="2" t="n"/>
      <c r="P306" s="2" t="n"/>
    </row>
    <row r="307">
      <c r="A307" s="2" t="n"/>
      <c r="B307" s="84" t="n"/>
      <c r="C307" s="78" t="n"/>
      <c r="D307" s="78" t="n"/>
      <c r="E307" s="78" t="n"/>
      <c r="F307" s="73" t="n"/>
      <c r="G307" s="77" t="n"/>
      <c r="H307" s="87">
        <f>IF(OR($F307="",$G307=""),"",ROUND($F307*$G307,2))</f>
        <v/>
      </c>
      <c r="I307" s="87">
        <f>IF($F307="","",ROUND($F307*(1+IF($G307="",0,$G307)),2))</f>
        <v/>
      </c>
      <c r="J307" s="69" t="n"/>
      <c r="K307" s="88">
        <f>IF($B307="","",MONTH($B307))</f>
        <v/>
      </c>
      <c r="L307" s="2" t="n"/>
      <c r="M307" s="2" t="n"/>
      <c r="N307" s="2" t="n"/>
      <c r="O307" s="2" t="n"/>
      <c r="P307" s="2" t="n"/>
    </row>
    <row r="308">
      <c r="A308" s="2" t="n"/>
      <c r="B308" s="84" t="n"/>
      <c r="C308" s="78" t="n"/>
      <c r="D308" s="78" t="n"/>
      <c r="E308" s="78" t="n"/>
      <c r="F308" s="73" t="n"/>
      <c r="G308" s="77" t="n"/>
      <c r="H308" s="85">
        <f>IF(OR($F308="",$G308=""),"",ROUND($F308*$G308,2))</f>
        <v/>
      </c>
      <c r="I308" s="85">
        <f>IF($F308="","",ROUND($F308*(1+IF($G308="",0,$G308)),2))</f>
        <v/>
      </c>
      <c r="J308" s="69" t="n"/>
      <c r="K308" s="86">
        <f>IF($B308="","",MONTH($B308))</f>
        <v/>
      </c>
      <c r="L308" s="2" t="n"/>
      <c r="M308" s="2" t="n"/>
      <c r="N308" s="2" t="n"/>
      <c r="O308" s="2" t="n"/>
      <c r="P308" s="2" t="n"/>
    </row>
    <row r="309">
      <c r="A309" s="2" t="n"/>
      <c r="B309" s="84" t="n"/>
      <c r="C309" s="78" t="n"/>
      <c r="D309" s="78" t="n"/>
      <c r="E309" s="78" t="n"/>
      <c r="F309" s="73" t="n"/>
      <c r="G309" s="77" t="n"/>
      <c r="H309" s="87">
        <f>IF(OR($F309="",$G309=""),"",ROUND($F309*$G309,2))</f>
        <v/>
      </c>
      <c r="I309" s="87">
        <f>IF($F309="","",ROUND($F309*(1+IF($G309="",0,$G309)),2))</f>
        <v/>
      </c>
      <c r="J309" s="69" t="n"/>
      <c r="K309" s="88">
        <f>IF($B309="","",MONTH($B309))</f>
        <v/>
      </c>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sheetData>
  <mergeCells count="3">
    <mergeCell ref="A1:O1"/>
    <mergeCell ref="B3:O3"/>
    <mergeCell ref="A2:O2"/>
  </mergeCells>
  <dataValidations count="3">
    <dataValidation sqref="D10:D309" showDropDown="0" showInputMessage="0" showErrorMessage="0" allowBlank="1" type="list">
      <formula1>LISTE_CATEGORIES</formula1>
    </dataValidation>
    <dataValidation sqref="G10:G309" showDropDown="0" showInputMessage="0" showErrorMessage="0" allowBlank="1" type="list">
      <formula1>LISTE_TVA</formula1>
    </dataValidation>
    <dataValidation sqref="J10:J309" showDropDown="0" showInputMessage="0" showErrorMessage="0" allowBlank="1" type="list">
      <formula1>"Oui,Non"</formula1>
    </dataValidation>
  </dataValidations>
  <pageMargins left="0.75" right="0.75" top="1" bottom="1" header="0.5" footer="0.5"/>
</worksheet>
</file>

<file path=xl/worksheets/sheet7.xml><?xml version="1.0" encoding="utf-8"?>
<worksheet xmlns="http://schemas.openxmlformats.org/spreadsheetml/2006/main">
  <sheetPr>
    <tabColor rgb="008B7D6B"/>
    <outlinePr summaryBelow="1" summaryRight="1"/>
    <pageSetUpPr/>
  </sheetPr>
  <dimension ref="A1:M2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11"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3" customWidth="1" min="12" max="12"/>
  </cols>
  <sheetData>
    <row r="1" ht="30" customHeight="1">
      <c r="A1" s="1" t="inlineStr">
        <is>
          <t>📊 SUIVI MENSUEL — PRÉVISIONNEL vs RÉALISÉ</t>
        </is>
      </c>
      <c r="L1" s="2" t="n"/>
      <c r="M1" s="2" t="n"/>
    </row>
    <row r="2" ht="16" customHeight="1">
      <c r="A2" s="3" t="inlineStr">
        <is>
          <t>En clair : prévu contre réalisé — pour savoir si vous êtes sur la bonne trajectoire.</t>
        </is>
      </c>
      <c r="L2" s="2" t="n"/>
      <c r="M2" s="2" t="n"/>
    </row>
    <row r="3" ht="26" customHeight="1">
      <c r="A3" s="2" t="n"/>
      <c r="B3" s="53" t="inlineStr">
        <is>
          <t>💡 Un écart positif est toujours favorable (vert) ; un écart négatif est défavorable (rouge). Les dépenses réalisées incluent automatiquement le salaire net + cotisations du dirigeant pour les mois écoulés.</t>
        </is>
      </c>
      <c r="L3" s="2" t="n"/>
      <c r="M3" s="2" t="n"/>
    </row>
    <row r="4">
      <c r="A4" s="2" t="n"/>
      <c r="B4" s="2" t="n"/>
      <c r="C4" s="2" t="n"/>
      <c r="D4" s="2" t="n"/>
      <c r="E4" s="2" t="n"/>
      <c r="F4" s="2" t="n"/>
      <c r="G4" s="2" t="n"/>
      <c r="H4" s="2" t="n"/>
      <c r="I4" s="2" t="n"/>
      <c r="J4" s="2" t="n"/>
      <c r="K4" s="2" t="n"/>
      <c r="L4" s="2" t="n"/>
      <c r="M4" s="2" t="n"/>
    </row>
    <row r="5" ht="20" customHeight="1">
      <c r="A5" s="2" t="n"/>
      <c r="B5" s="2" t="n"/>
      <c r="C5" s="40" t="inlineStr">
        <is>
          <t>RECETTES</t>
        </is>
      </c>
      <c r="F5" s="19" t="inlineStr">
        <is>
          <t>DÉPENSES</t>
        </is>
      </c>
      <c r="I5" s="40" t="inlineStr">
        <is>
          <t>RÉSULTAT</t>
        </is>
      </c>
      <c r="L5" s="2" t="n"/>
      <c r="M5" s="2" t="n"/>
    </row>
    <row r="6">
      <c r="A6" s="2" t="n"/>
      <c r="B6" s="41" t="inlineStr">
        <is>
          <t>Mois</t>
        </is>
      </c>
      <c r="C6" s="41" t="inlineStr">
        <is>
          <t>Prévu</t>
        </is>
      </c>
      <c r="D6" s="41" t="inlineStr">
        <is>
          <t>Réalisé</t>
        </is>
      </c>
      <c r="E6" s="41" t="inlineStr">
        <is>
          <t>Écart</t>
        </is>
      </c>
      <c r="F6" s="41" t="inlineStr">
        <is>
          <t>Prévu</t>
        </is>
      </c>
      <c r="G6" s="41" t="inlineStr">
        <is>
          <t>Réalisé</t>
        </is>
      </c>
      <c r="H6" s="41" t="inlineStr">
        <is>
          <t>Écart</t>
        </is>
      </c>
      <c r="I6" s="41" t="inlineStr">
        <is>
          <t>Prévu</t>
        </is>
      </c>
      <c r="J6" s="41" t="inlineStr">
        <is>
          <t>Réalisé</t>
        </is>
      </c>
      <c r="K6" s="41" t="inlineStr">
        <is>
          <t>Écart</t>
        </is>
      </c>
      <c r="L6" s="2" t="n"/>
      <c r="M6" s="2" t="n"/>
    </row>
    <row r="7">
      <c r="A7" s="2" t="n"/>
      <c r="B7" s="89" t="inlineStr">
        <is>
          <t>Janv</t>
        </is>
      </c>
      <c r="C7" s="44">
        <f>'📋 Budget'!C12</f>
        <v/>
      </c>
      <c r="D7" s="44">
        <f>SUMIFS('💰 Recettes'!$E$10:$E$209,'💰 Recettes'!$J$10:$J$209,1)</f>
        <v/>
      </c>
      <c r="E7" s="44">
        <f>D7-C7</f>
        <v/>
      </c>
      <c r="F7" s="44">
        <f>'📋 Budget'!C31</f>
        <v/>
      </c>
      <c r="G7" s="44">
        <f>SUMIFS('💸 Dépenses'!$F$10:$F$309,'💸 Dépenses'!$K$10:$K$309,1)+IF(OR(YEAR(TODAY())&gt;ANNEE,AND(YEAR(TODAY())=ANNEE,MONTH(TODAY())&gt;=1)),ROUND(SALAIRE_NET*(1+TAUX_CHARGES),2),0)</f>
        <v/>
      </c>
      <c r="H7" s="44">
        <f>F7-G7</f>
        <v/>
      </c>
      <c r="I7" s="44">
        <f>C7-F7</f>
        <v/>
      </c>
      <c r="J7" s="44">
        <f>D7-G7</f>
        <v/>
      </c>
      <c r="K7" s="44">
        <f>J7-I7</f>
        <v/>
      </c>
      <c r="L7" s="2" t="n"/>
      <c r="M7" s="2" t="n"/>
    </row>
    <row r="8">
      <c r="A8" s="2" t="n"/>
      <c r="B8" s="89" t="inlineStr">
        <is>
          <t>Févr</t>
        </is>
      </c>
      <c r="C8" s="90">
        <f>'📋 Budget'!D12</f>
        <v/>
      </c>
      <c r="D8" s="90">
        <f>SUMIFS('💰 Recettes'!$E$10:$E$209,'💰 Recettes'!$J$10:$J$209,2)</f>
        <v/>
      </c>
      <c r="E8" s="90">
        <f>D8-C8</f>
        <v/>
      </c>
      <c r="F8" s="90">
        <f>'📋 Budget'!D31</f>
        <v/>
      </c>
      <c r="G8" s="90">
        <f>SUMIFS('💸 Dépenses'!$F$10:$F$309,'💸 Dépenses'!$K$10:$K$309,2)+IF(OR(YEAR(TODAY())&gt;ANNEE,AND(YEAR(TODAY())=ANNEE,MONTH(TODAY())&gt;=2)),ROUND(SALAIRE_NET*(1+TAUX_CHARGES),2),0)</f>
        <v/>
      </c>
      <c r="H8" s="90">
        <f>F8-G8</f>
        <v/>
      </c>
      <c r="I8" s="90">
        <f>C8-F8</f>
        <v/>
      </c>
      <c r="J8" s="90">
        <f>D8-G8</f>
        <v/>
      </c>
      <c r="K8" s="90">
        <f>J8-I8</f>
        <v/>
      </c>
      <c r="L8" s="2" t="n"/>
      <c r="M8" s="2" t="n"/>
    </row>
    <row r="9">
      <c r="A9" s="2" t="n"/>
      <c r="B9" s="89" t="inlineStr">
        <is>
          <t>Mars</t>
        </is>
      </c>
      <c r="C9" s="44">
        <f>'📋 Budget'!E12</f>
        <v/>
      </c>
      <c r="D9" s="44">
        <f>SUMIFS('💰 Recettes'!$E$10:$E$209,'💰 Recettes'!$J$10:$J$209,3)</f>
        <v/>
      </c>
      <c r="E9" s="44">
        <f>D9-C9</f>
        <v/>
      </c>
      <c r="F9" s="44">
        <f>'📋 Budget'!E31</f>
        <v/>
      </c>
      <c r="G9" s="44">
        <f>SUMIFS('💸 Dépenses'!$F$10:$F$309,'💸 Dépenses'!$K$10:$K$309,3)+IF(OR(YEAR(TODAY())&gt;ANNEE,AND(YEAR(TODAY())=ANNEE,MONTH(TODAY())&gt;=3)),ROUND(SALAIRE_NET*(1+TAUX_CHARGES),2),0)</f>
        <v/>
      </c>
      <c r="H9" s="44">
        <f>F9-G9</f>
        <v/>
      </c>
      <c r="I9" s="44">
        <f>C9-F9</f>
        <v/>
      </c>
      <c r="J9" s="44">
        <f>D9-G9</f>
        <v/>
      </c>
      <c r="K9" s="44">
        <f>J9-I9</f>
        <v/>
      </c>
      <c r="L9" s="2" t="n"/>
      <c r="M9" s="2" t="n"/>
    </row>
    <row r="10">
      <c r="A10" s="2" t="n"/>
      <c r="B10" s="89" t="inlineStr">
        <is>
          <t>Avr</t>
        </is>
      </c>
      <c r="C10" s="90">
        <f>'📋 Budget'!F12</f>
        <v/>
      </c>
      <c r="D10" s="90">
        <f>SUMIFS('💰 Recettes'!$E$10:$E$209,'💰 Recettes'!$J$10:$J$209,4)</f>
        <v/>
      </c>
      <c r="E10" s="90">
        <f>D10-C10</f>
        <v/>
      </c>
      <c r="F10" s="90">
        <f>'📋 Budget'!F31</f>
        <v/>
      </c>
      <c r="G10" s="90">
        <f>SUMIFS('💸 Dépenses'!$F$10:$F$309,'💸 Dépenses'!$K$10:$K$309,4)+IF(OR(YEAR(TODAY())&gt;ANNEE,AND(YEAR(TODAY())=ANNEE,MONTH(TODAY())&gt;=4)),ROUND(SALAIRE_NET*(1+TAUX_CHARGES),2),0)</f>
        <v/>
      </c>
      <c r="H10" s="90">
        <f>F10-G10</f>
        <v/>
      </c>
      <c r="I10" s="90">
        <f>C10-F10</f>
        <v/>
      </c>
      <c r="J10" s="90">
        <f>D10-G10</f>
        <v/>
      </c>
      <c r="K10" s="90">
        <f>J10-I10</f>
        <v/>
      </c>
      <c r="L10" s="2" t="n"/>
      <c r="M10" s="2" t="n"/>
    </row>
    <row r="11">
      <c r="A11" s="2" t="n"/>
      <c r="B11" s="89" t="inlineStr">
        <is>
          <t>Mai</t>
        </is>
      </c>
      <c r="C11" s="44">
        <f>'📋 Budget'!G12</f>
        <v/>
      </c>
      <c r="D11" s="44">
        <f>SUMIFS('💰 Recettes'!$E$10:$E$209,'💰 Recettes'!$J$10:$J$209,5)</f>
        <v/>
      </c>
      <c r="E11" s="44">
        <f>D11-C11</f>
        <v/>
      </c>
      <c r="F11" s="44">
        <f>'📋 Budget'!G31</f>
        <v/>
      </c>
      <c r="G11" s="44">
        <f>SUMIFS('💸 Dépenses'!$F$10:$F$309,'💸 Dépenses'!$K$10:$K$309,5)+IF(OR(YEAR(TODAY())&gt;ANNEE,AND(YEAR(TODAY())=ANNEE,MONTH(TODAY())&gt;=5)),ROUND(SALAIRE_NET*(1+TAUX_CHARGES),2),0)</f>
        <v/>
      </c>
      <c r="H11" s="44">
        <f>F11-G11</f>
        <v/>
      </c>
      <c r="I11" s="44">
        <f>C11-F11</f>
        <v/>
      </c>
      <c r="J11" s="44">
        <f>D11-G11</f>
        <v/>
      </c>
      <c r="K11" s="44">
        <f>J11-I11</f>
        <v/>
      </c>
      <c r="L11" s="2" t="n"/>
      <c r="M11" s="2" t="n"/>
    </row>
    <row r="12">
      <c r="A12" s="2" t="n"/>
      <c r="B12" s="89" t="inlineStr">
        <is>
          <t>Juin</t>
        </is>
      </c>
      <c r="C12" s="90">
        <f>'📋 Budget'!H12</f>
        <v/>
      </c>
      <c r="D12" s="90">
        <f>SUMIFS('💰 Recettes'!$E$10:$E$209,'💰 Recettes'!$J$10:$J$209,6)</f>
        <v/>
      </c>
      <c r="E12" s="90">
        <f>D12-C12</f>
        <v/>
      </c>
      <c r="F12" s="90">
        <f>'📋 Budget'!H31</f>
        <v/>
      </c>
      <c r="G12" s="90">
        <f>SUMIFS('💸 Dépenses'!$F$10:$F$309,'💸 Dépenses'!$K$10:$K$309,6)+IF(OR(YEAR(TODAY())&gt;ANNEE,AND(YEAR(TODAY())=ANNEE,MONTH(TODAY())&gt;=6)),ROUND(SALAIRE_NET*(1+TAUX_CHARGES),2),0)</f>
        <v/>
      </c>
      <c r="H12" s="90">
        <f>F12-G12</f>
        <v/>
      </c>
      <c r="I12" s="90">
        <f>C12-F12</f>
        <v/>
      </c>
      <c r="J12" s="90">
        <f>D12-G12</f>
        <v/>
      </c>
      <c r="K12" s="90">
        <f>J12-I12</f>
        <v/>
      </c>
      <c r="L12" s="2" t="n"/>
      <c r="M12" s="2" t="n"/>
    </row>
    <row r="13">
      <c r="A13" s="2" t="n"/>
      <c r="B13" s="89" t="inlineStr">
        <is>
          <t>Juil</t>
        </is>
      </c>
      <c r="C13" s="44">
        <f>'📋 Budget'!I12</f>
        <v/>
      </c>
      <c r="D13" s="44">
        <f>SUMIFS('💰 Recettes'!$E$10:$E$209,'💰 Recettes'!$J$10:$J$209,7)</f>
        <v/>
      </c>
      <c r="E13" s="44">
        <f>D13-C13</f>
        <v/>
      </c>
      <c r="F13" s="44">
        <f>'📋 Budget'!I31</f>
        <v/>
      </c>
      <c r="G13" s="44">
        <f>SUMIFS('💸 Dépenses'!$F$10:$F$309,'💸 Dépenses'!$K$10:$K$309,7)+IF(OR(YEAR(TODAY())&gt;ANNEE,AND(YEAR(TODAY())=ANNEE,MONTH(TODAY())&gt;=7)),ROUND(SALAIRE_NET*(1+TAUX_CHARGES),2),0)</f>
        <v/>
      </c>
      <c r="H13" s="44">
        <f>F13-G13</f>
        <v/>
      </c>
      <c r="I13" s="44">
        <f>C13-F13</f>
        <v/>
      </c>
      <c r="J13" s="44">
        <f>D13-G13</f>
        <v/>
      </c>
      <c r="K13" s="44">
        <f>J13-I13</f>
        <v/>
      </c>
      <c r="L13" s="2" t="n"/>
      <c r="M13" s="2" t="n"/>
    </row>
    <row r="14">
      <c r="A14" s="2" t="n"/>
      <c r="B14" s="89" t="inlineStr">
        <is>
          <t>Août</t>
        </is>
      </c>
      <c r="C14" s="90">
        <f>'📋 Budget'!J12</f>
        <v/>
      </c>
      <c r="D14" s="90">
        <f>SUMIFS('💰 Recettes'!$E$10:$E$209,'💰 Recettes'!$J$10:$J$209,8)</f>
        <v/>
      </c>
      <c r="E14" s="90">
        <f>D14-C14</f>
        <v/>
      </c>
      <c r="F14" s="90">
        <f>'📋 Budget'!J31</f>
        <v/>
      </c>
      <c r="G14" s="90">
        <f>SUMIFS('💸 Dépenses'!$F$10:$F$309,'💸 Dépenses'!$K$10:$K$309,8)+IF(OR(YEAR(TODAY())&gt;ANNEE,AND(YEAR(TODAY())=ANNEE,MONTH(TODAY())&gt;=8)),ROUND(SALAIRE_NET*(1+TAUX_CHARGES),2),0)</f>
        <v/>
      </c>
      <c r="H14" s="90">
        <f>F14-G14</f>
        <v/>
      </c>
      <c r="I14" s="90">
        <f>C14-F14</f>
        <v/>
      </c>
      <c r="J14" s="90">
        <f>D14-G14</f>
        <v/>
      </c>
      <c r="K14" s="90">
        <f>J14-I14</f>
        <v/>
      </c>
      <c r="L14" s="2" t="n"/>
      <c r="M14" s="2" t="n"/>
    </row>
    <row r="15">
      <c r="A15" s="2" t="n"/>
      <c r="B15" s="89" t="inlineStr">
        <is>
          <t>Sept</t>
        </is>
      </c>
      <c r="C15" s="44">
        <f>'📋 Budget'!K12</f>
        <v/>
      </c>
      <c r="D15" s="44">
        <f>SUMIFS('💰 Recettes'!$E$10:$E$209,'💰 Recettes'!$J$10:$J$209,9)</f>
        <v/>
      </c>
      <c r="E15" s="44">
        <f>D15-C15</f>
        <v/>
      </c>
      <c r="F15" s="44">
        <f>'📋 Budget'!K31</f>
        <v/>
      </c>
      <c r="G15" s="44">
        <f>SUMIFS('💸 Dépenses'!$F$10:$F$309,'💸 Dépenses'!$K$10:$K$309,9)+IF(OR(YEAR(TODAY())&gt;ANNEE,AND(YEAR(TODAY())=ANNEE,MONTH(TODAY())&gt;=9)),ROUND(SALAIRE_NET*(1+TAUX_CHARGES),2),0)</f>
        <v/>
      </c>
      <c r="H15" s="44">
        <f>F15-G15</f>
        <v/>
      </c>
      <c r="I15" s="44">
        <f>C15-F15</f>
        <v/>
      </c>
      <c r="J15" s="44">
        <f>D15-G15</f>
        <v/>
      </c>
      <c r="K15" s="44">
        <f>J15-I15</f>
        <v/>
      </c>
      <c r="L15" s="2" t="n"/>
      <c r="M15" s="2" t="n"/>
    </row>
    <row r="16">
      <c r="A16" s="2" t="n"/>
      <c r="B16" s="89" t="inlineStr">
        <is>
          <t>Oct</t>
        </is>
      </c>
      <c r="C16" s="90">
        <f>'📋 Budget'!L12</f>
        <v/>
      </c>
      <c r="D16" s="90">
        <f>SUMIFS('💰 Recettes'!$E$10:$E$209,'💰 Recettes'!$J$10:$J$209,10)</f>
        <v/>
      </c>
      <c r="E16" s="90">
        <f>D16-C16</f>
        <v/>
      </c>
      <c r="F16" s="90">
        <f>'📋 Budget'!L31</f>
        <v/>
      </c>
      <c r="G16" s="90">
        <f>SUMIFS('💸 Dépenses'!$F$10:$F$309,'💸 Dépenses'!$K$10:$K$309,10)+IF(OR(YEAR(TODAY())&gt;ANNEE,AND(YEAR(TODAY())=ANNEE,MONTH(TODAY())&gt;=10)),ROUND(SALAIRE_NET*(1+TAUX_CHARGES),2),0)</f>
        <v/>
      </c>
      <c r="H16" s="90">
        <f>F16-G16</f>
        <v/>
      </c>
      <c r="I16" s="90">
        <f>C16-F16</f>
        <v/>
      </c>
      <c r="J16" s="90">
        <f>D16-G16</f>
        <v/>
      </c>
      <c r="K16" s="90">
        <f>J16-I16</f>
        <v/>
      </c>
      <c r="L16" s="2" t="n"/>
      <c r="M16" s="2" t="n"/>
    </row>
    <row r="17">
      <c r="A17" s="2" t="n"/>
      <c r="B17" s="89" t="inlineStr">
        <is>
          <t>Nov</t>
        </is>
      </c>
      <c r="C17" s="44">
        <f>'📋 Budget'!M12</f>
        <v/>
      </c>
      <c r="D17" s="44">
        <f>SUMIFS('💰 Recettes'!$E$10:$E$209,'💰 Recettes'!$J$10:$J$209,11)</f>
        <v/>
      </c>
      <c r="E17" s="44">
        <f>D17-C17</f>
        <v/>
      </c>
      <c r="F17" s="44">
        <f>'📋 Budget'!M31</f>
        <v/>
      </c>
      <c r="G17" s="44">
        <f>SUMIFS('💸 Dépenses'!$F$10:$F$309,'💸 Dépenses'!$K$10:$K$309,11)+IF(OR(YEAR(TODAY())&gt;ANNEE,AND(YEAR(TODAY())=ANNEE,MONTH(TODAY())&gt;=11)),ROUND(SALAIRE_NET*(1+TAUX_CHARGES),2),0)</f>
        <v/>
      </c>
      <c r="H17" s="44">
        <f>F17-G17</f>
        <v/>
      </c>
      <c r="I17" s="44">
        <f>C17-F17</f>
        <v/>
      </c>
      <c r="J17" s="44">
        <f>D17-G17</f>
        <v/>
      </c>
      <c r="K17" s="44">
        <f>J17-I17</f>
        <v/>
      </c>
      <c r="L17" s="2" t="n"/>
      <c r="M17" s="2" t="n"/>
    </row>
    <row r="18">
      <c r="A18" s="2" t="n"/>
      <c r="B18" s="89" t="inlineStr">
        <is>
          <t>Déc</t>
        </is>
      </c>
      <c r="C18" s="90">
        <f>'📋 Budget'!N12</f>
        <v/>
      </c>
      <c r="D18" s="90">
        <f>SUMIFS('💰 Recettes'!$E$10:$E$209,'💰 Recettes'!$J$10:$J$209,12)</f>
        <v/>
      </c>
      <c r="E18" s="90">
        <f>D18-C18</f>
        <v/>
      </c>
      <c r="F18" s="90">
        <f>'📋 Budget'!N31</f>
        <v/>
      </c>
      <c r="G18" s="90">
        <f>SUMIFS('💸 Dépenses'!$F$10:$F$309,'💸 Dépenses'!$K$10:$K$309,12)+IF(OR(YEAR(TODAY())&gt;ANNEE,AND(YEAR(TODAY())=ANNEE,MONTH(TODAY())&gt;=12)),ROUND(SALAIRE_NET*(1+TAUX_CHARGES),2),0)</f>
        <v/>
      </c>
      <c r="H18" s="90">
        <f>F18-G18</f>
        <v/>
      </c>
      <c r="I18" s="90">
        <f>C18-F18</f>
        <v/>
      </c>
      <c r="J18" s="90">
        <f>D18-G18</f>
        <v/>
      </c>
      <c r="K18" s="90">
        <f>J18-I18</f>
        <v/>
      </c>
      <c r="L18" s="2" t="n"/>
      <c r="M18" s="2" t="n"/>
    </row>
    <row r="19">
      <c r="A19" s="2" t="n"/>
      <c r="B19" s="91" t="inlineStr">
        <is>
          <t>CUMUL</t>
        </is>
      </c>
      <c r="C19" s="80">
        <f>SUM(C7:C18)</f>
        <v/>
      </c>
      <c r="D19" s="80">
        <f>SUM(D7:D18)</f>
        <v/>
      </c>
      <c r="E19" s="80">
        <f>SUM(E7:E18)</f>
        <v/>
      </c>
      <c r="F19" s="80">
        <f>SUM(F7:F18)</f>
        <v/>
      </c>
      <c r="G19" s="80">
        <f>SUM(G7:G18)</f>
        <v/>
      </c>
      <c r="H19" s="80">
        <f>SUM(H7:H18)</f>
        <v/>
      </c>
      <c r="I19" s="80">
        <f>SUM(I7:I18)</f>
        <v/>
      </c>
      <c r="J19" s="80">
        <f>SUM(J7:J18)</f>
        <v/>
      </c>
      <c r="K19" s="80">
        <f>SUM(K7:K18)</f>
        <v/>
      </c>
      <c r="L19" s="2" t="n"/>
      <c r="M19" s="2" t="n"/>
    </row>
    <row r="20">
      <c r="A20" s="2" t="n"/>
      <c r="B20" s="2" t="n"/>
      <c r="C20" s="2" t="n"/>
      <c r="D20" s="2" t="n"/>
      <c r="E20" s="2" t="n"/>
      <c r="F20" s="2" t="n"/>
      <c r="G20" s="2" t="n"/>
      <c r="H20" s="2" t="n"/>
      <c r="I20" s="2" t="n"/>
      <c r="J20" s="2" t="n"/>
      <c r="K20" s="2" t="n"/>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row r="24">
      <c r="A24" s="2" t="n"/>
      <c r="B24" s="2" t="n"/>
      <c r="C24" s="2" t="n"/>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row r="26">
      <c r="A26" s="2" t="n"/>
      <c r="B26" s="2" t="n"/>
      <c r="C26" s="2" t="n"/>
      <c r="D26" s="2" t="n"/>
      <c r="E26" s="2" t="n"/>
      <c r="F26" s="2" t="n"/>
      <c r="G26" s="2" t="n"/>
      <c r="H26" s="2" t="n"/>
      <c r="I26" s="2" t="n"/>
      <c r="J26" s="2" t="n"/>
      <c r="K26" s="2" t="n"/>
      <c r="L26" s="2" t="n"/>
      <c r="M26" s="2" t="n"/>
    </row>
  </sheetData>
  <mergeCells count="6">
    <mergeCell ref="F5:H5"/>
    <mergeCell ref="C5:E5"/>
    <mergeCell ref="I5:K5"/>
    <mergeCell ref="A2:K2"/>
    <mergeCell ref="A1:K1"/>
    <mergeCell ref="B3:K3"/>
  </mergeCells>
  <conditionalFormatting sqref="E7:E19">
    <cfRule type="cellIs" priority="1" operator="greaterThanOrEqual" dxfId="1">
      <formula>0</formula>
    </cfRule>
    <cfRule type="cellIs" priority="2" operator="lessThan" dxfId="2">
      <formula>0</formula>
    </cfRule>
  </conditionalFormatting>
  <conditionalFormatting sqref="H7:H19">
    <cfRule type="cellIs" priority="3" operator="greaterThanOrEqual" dxfId="1">
      <formula>0</formula>
    </cfRule>
    <cfRule type="cellIs" priority="4" operator="lessThan" dxfId="2">
      <formula>0</formula>
    </cfRule>
  </conditionalFormatting>
  <conditionalFormatting sqref="K7:K19">
    <cfRule type="cellIs" priority="5" operator="greaterThanOrEqual" dxfId="1">
      <formula>0</formula>
    </cfRule>
    <cfRule type="cellIs" priority="6" operator="lessThan" dxfId="2">
      <formula>0</formula>
    </cfRule>
  </conditionalFormatting>
  <pageMargins left="0.75" right="0.75" top="1" bottom="1" header="0.5" footer="0.5"/>
</worksheet>
</file>

<file path=xl/worksheets/sheet8.xml><?xml version="1.0" encoding="utf-8"?>
<worksheet xmlns="http://schemas.openxmlformats.org/spreadsheetml/2006/main">
  <sheetPr>
    <tabColor rgb="008B7D6B"/>
    <outlinePr summaryBelow="1" summaryRight="1"/>
    <pageSetUpPr/>
  </sheetPr>
  <dimension ref="A1:P2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3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 width="3" customWidth="1" min="16" max="16"/>
  </cols>
  <sheetData>
    <row r="1" ht="30" customHeight="1">
      <c r="A1" s="1" t="inlineStr">
        <is>
          <t>🏦 PLAN DE TRÉSORERIE</t>
        </is>
      </c>
      <c r="P1" s="2" t="n"/>
    </row>
    <row r="2" ht="16" customHeight="1">
      <c r="A2" s="3" t="inlineStr">
        <is>
          <t>En clair : combien il y a réellement sur le compte, mois par mois — le nerf de la guerre.</t>
        </is>
      </c>
      <c r="P2" s="2" t="n"/>
    </row>
    <row r="3" ht="26" customHeight="1">
      <c r="A3" s="2" t="n"/>
      <c r="B3" s="53" t="inlineStr">
        <is>
          <t>💡 Seules les lignes « Autres encaissements » et « Autres décaissements » se saisissent ici. Le reste provient de vos recettes encaissées, dépenses payées, salaire, cotisations, TVA, IS et CFE. Solde négatif = fond rouge, solde &lt; 1 000 € = fond orange.</t>
        </is>
      </c>
      <c r="P3" s="2" t="n"/>
    </row>
    <row r="4">
      <c r="A4" s="2" t="n"/>
      <c r="B4" s="2" t="n"/>
      <c r="C4" s="2" t="n"/>
      <c r="D4" s="2" t="n"/>
      <c r="E4" s="2" t="n"/>
      <c r="F4" s="2" t="n"/>
      <c r="G4" s="2" t="n"/>
      <c r="H4" s="2" t="n"/>
      <c r="I4" s="2" t="n"/>
      <c r="J4" s="2" t="n"/>
      <c r="K4" s="2" t="n"/>
      <c r="L4" s="2" t="n"/>
      <c r="M4" s="2" t="n"/>
      <c r="N4" s="2" t="n"/>
      <c r="O4" s="2" t="n"/>
      <c r="P4" s="2" t="n"/>
    </row>
    <row r="5">
      <c r="A5" s="2" t="n"/>
      <c r="B5" s="41" t="inlineStr"/>
      <c r="C5" s="41" t="inlineStr">
        <is>
          <t>Janv</t>
        </is>
      </c>
      <c r="D5" s="41" t="inlineStr">
        <is>
          <t>Févr</t>
        </is>
      </c>
      <c r="E5" s="41" t="inlineStr">
        <is>
          <t>Mars</t>
        </is>
      </c>
      <c r="F5" s="41" t="inlineStr">
        <is>
          <t>Avr</t>
        </is>
      </c>
      <c r="G5" s="41" t="inlineStr">
        <is>
          <t>Mai</t>
        </is>
      </c>
      <c r="H5" s="41" t="inlineStr">
        <is>
          <t>Juin</t>
        </is>
      </c>
      <c r="I5" s="41" t="inlineStr">
        <is>
          <t>Juil</t>
        </is>
      </c>
      <c r="J5" s="41" t="inlineStr">
        <is>
          <t>Août</t>
        </is>
      </c>
      <c r="K5" s="41" t="inlineStr">
        <is>
          <t>Sept</t>
        </is>
      </c>
      <c r="L5" s="41" t="inlineStr">
        <is>
          <t>Oct</t>
        </is>
      </c>
      <c r="M5" s="41" t="inlineStr">
        <is>
          <t>Nov</t>
        </is>
      </c>
      <c r="N5" s="41" t="inlineStr">
        <is>
          <t>Déc</t>
        </is>
      </c>
      <c r="O5" s="41" t="inlineStr">
        <is>
          <t>Année</t>
        </is>
      </c>
      <c r="P5" s="2" t="n"/>
    </row>
    <row r="6">
      <c r="A6" s="2" t="n"/>
      <c r="B6" s="81" t="inlineStr">
        <is>
          <t>Solde en début de mois</t>
        </is>
      </c>
      <c r="C6" s="82">
        <f>SOLDE_INIT</f>
        <v/>
      </c>
      <c r="D6" s="82">
        <f>C20</f>
        <v/>
      </c>
      <c r="E6" s="82">
        <f>D20</f>
        <v/>
      </c>
      <c r="F6" s="82">
        <f>E20</f>
        <v/>
      </c>
      <c r="G6" s="82">
        <f>F20</f>
        <v/>
      </c>
      <c r="H6" s="82">
        <f>G20</f>
        <v/>
      </c>
      <c r="I6" s="82">
        <f>H20</f>
        <v/>
      </c>
      <c r="J6" s="82">
        <f>I20</f>
        <v/>
      </c>
      <c r="K6" s="82">
        <f>J20</f>
        <v/>
      </c>
      <c r="L6" s="82">
        <f>K20</f>
        <v/>
      </c>
      <c r="M6" s="82">
        <f>L20</f>
        <v/>
      </c>
      <c r="N6" s="82">
        <f>M20</f>
        <v/>
      </c>
      <c r="O6" s="82">
        <f>C6</f>
        <v/>
      </c>
      <c r="P6" s="2" t="n"/>
    </row>
    <row r="7" ht="20" customHeight="1">
      <c r="A7" s="2" t="n"/>
      <c r="B7" s="92" t="inlineStr">
        <is>
          <t>ENCAISSEMENTS</t>
        </is>
      </c>
      <c r="P7" s="2" t="n"/>
    </row>
    <row r="8">
      <c r="A8" s="2" t="n"/>
      <c r="B8" s="50" t="inlineStr">
        <is>
          <t>Recettes encaissées (TTC)</t>
        </is>
      </c>
      <c r="C8" s="44">
        <f>SUMIFS('💰 Recettes'!$H$10:$H$209,'💰 Recettes'!$J$10:$J$209,1,'💰 Recettes'!$I$10:$I$209,"Oui")</f>
        <v/>
      </c>
      <c r="D8" s="44">
        <f>SUMIFS('💰 Recettes'!$H$10:$H$209,'💰 Recettes'!$J$10:$J$209,2,'💰 Recettes'!$I$10:$I$209,"Oui")</f>
        <v/>
      </c>
      <c r="E8" s="44">
        <f>SUMIFS('💰 Recettes'!$H$10:$H$209,'💰 Recettes'!$J$10:$J$209,3,'💰 Recettes'!$I$10:$I$209,"Oui")</f>
        <v/>
      </c>
      <c r="F8" s="44">
        <f>SUMIFS('💰 Recettes'!$H$10:$H$209,'💰 Recettes'!$J$10:$J$209,4,'💰 Recettes'!$I$10:$I$209,"Oui")</f>
        <v/>
      </c>
      <c r="G8" s="44">
        <f>SUMIFS('💰 Recettes'!$H$10:$H$209,'💰 Recettes'!$J$10:$J$209,5,'💰 Recettes'!$I$10:$I$209,"Oui")</f>
        <v/>
      </c>
      <c r="H8" s="44">
        <f>SUMIFS('💰 Recettes'!$H$10:$H$209,'💰 Recettes'!$J$10:$J$209,6,'💰 Recettes'!$I$10:$I$209,"Oui")</f>
        <v/>
      </c>
      <c r="I8" s="44">
        <f>SUMIFS('💰 Recettes'!$H$10:$H$209,'💰 Recettes'!$J$10:$J$209,7,'💰 Recettes'!$I$10:$I$209,"Oui")</f>
        <v/>
      </c>
      <c r="J8" s="44">
        <f>SUMIFS('💰 Recettes'!$H$10:$H$209,'💰 Recettes'!$J$10:$J$209,8,'💰 Recettes'!$I$10:$I$209,"Oui")</f>
        <v/>
      </c>
      <c r="K8" s="44">
        <f>SUMIFS('💰 Recettes'!$H$10:$H$209,'💰 Recettes'!$J$10:$J$209,9,'💰 Recettes'!$I$10:$I$209,"Oui")</f>
        <v/>
      </c>
      <c r="L8" s="44">
        <f>SUMIFS('💰 Recettes'!$H$10:$H$209,'💰 Recettes'!$J$10:$J$209,10,'💰 Recettes'!$I$10:$I$209,"Oui")</f>
        <v/>
      </c>
      <c r="M8" s="44">
        <f>SUMIFS('💰 Recettes'!$H$10:$H$209,'💰 Recettes'!$J$10:$J$209,11,'💰 Recettes'!$I$10:$I$209,"Oui")</f>
        <v/>
      </c>
      <c r="N8" s="44">
        <f>SUMIFS('💰 Recettes'!$H$10:$H$209,'💰 Recettes'!$J$10:$J$209,12,'💰 Recettes'!$I$10:$I$209,"Oui")</f>
        <v/>
      </c>
      <c r="O8" s="44">
        <f>SUM(C8:N8)</f>
        <v/>
      </c>
      <c r="P8" s="2" t="n"/>
    </row>
    <row r="9">
      <c r="A9" s="2" t="n"/>
      <c r="B9" s="50" t="inlineStr">
        <is>
          <t>Autres encaissements (apports, subventions…)</t>
        </is>
      </c>
      <c r="C9" s="70" t="n">
        <v>0</v>
      </c>
      <c r="D9" s="70" t="n">
        <v>0</v>
      </c>
      <c r="E9" s="70" t="n">
        <v>0</v>
      </c>
      <c r="F9" s="70" t="n">
        <v>0</v>
      </c>
      <c r="G9" s="70" t="n">
        <v>0</v>
      </c>
      <c r="H9" s="70" t="n">
        <v>0</v>
      </c>
      <c r="I9" s="70" t="n">
        <v>0</v>
      </c>
      <c r="J9" s="70" t="n">
        <v>0</v>
      </c>
      <c r="K9" s="70" t="n">
        <v>0</v>
      </c>
      <c r="L9" s="70" t="n">
        <v>0</v>
      </c>
      <c r="M9" s="70" t="n">
        <v>0</v>
      </c>
      <c r="N9" s="70" t="n">
        <v>0</v>
      </c>
      <c r="O9" s="44">
        <f>SUM(C9:N9)</f>
        <v/>
      </c>
      <c r="P9" s="2" t="n"/>
    </row>
    <row r="10">
      <c r="A10" s="2" t="n"/>
      <c r="B10" s="81" t="inlineStr">
        <is>
          <t>Total encaissements</t>
        </is>
      </c>
      <c r="C10" s="82">
        <f>SUM(C8:C9)</f>
        <v/>
      </c>
      <c r="D10" s="82">
        <f>SUM(D8:D9)</f>
        <v/>
      </c>
      <c r="E10" s="82">
        <f>SUM(E8:E9)</f>
        <v/>
      </c>
      <c r="F10" s="82">
        <f>SUM(F8:F9)</f>
        <v/>
      </c>
      <c r="G10" s="82">
        <f>SUM(G8:G9)</f>
        <v/>
      </c>
      <c r="H10" s="82">
        <f>SUM(H8:H9)</f>
        <v/>
      </c>
      <c r="I10" s="82">
        <f>SUM(I8:I9)</f>
        <v/>
      </c>
      <c r="J10" s="82">
        <f>SUM(J8:J9)</f>
        <v/>
      </c>
      <c r="K10" s="82">
        <f>SUM(K8:K9)</f>
        <v/>
      </c>
      <c r="L10" s="82">
        <f>SUM(L8:L9)</f>
        <v/>
      </c>
      <c r="M10" s="82">
        <f>SUM(M8:M9)</f>
        <v/>
      </c>
      <c r="N10" s="82">
        <f>SUM(N8:N9)</f>
        <v/>
      </c>
      <c r="O10" s="82">
        <f>SUM(C10:N10)</f>
        <v/>
      </c>
      <c r="P10" s="2" t="n"/>
    </row>
    <row r="11" ht="20" customHeight="1">
      <c r="A11" s="2" t="n"/>
      <c r="B11" s="93" t="inlineStr">
        <is>
          <t>DÉCAISSEMENTS</t>
        </is>
      </c>
      <c r="P11" s="2" t="n"/>
    </row>
    <row r="12">
      <c r="A12" s="2" t="n"/>
      <c r="B12" s="50" t="inlineStr">
        <is>
          <t>Dépenses payées (TTC)</t>
        </is>
      </c>
      <c r="C12" s="44">
        <f>SUMIFS('💸 Dépenses'!$I$10:$I$309,'💸 Dépenses'!$K$10:$K$309,1,'💸 Dépenses'!$J$10:$J$309,"Oui")</f>
        <v/>
      </c>
      <c r="D12" s="44">
        <f>SUMIFS('💸 Dépenses'!$I$10:$I$309,'💸 Dépenses'!$K$10:$K$309,2,'💸 Dépenses'!$J$10:$J$309,"Oui")</f>
        <v/>
      </c>
      <c r="E12" s="44">
        <f>SUMIFS('💸 Dépenses'!$I$10:$I$309,'💸 Dépenses'!$K$10:$K$309,3,'💸 Dépenses'!$J$10:$J$309,"Oui")</f>
        <v/>
      </c>
      <c r="F12" s="44">
        <f>SUMIFS('💸 Dépenses'!$I$10:$I$309,'💸 Dépenses'!$K$10:$K$309,4,'💸 Dépenses'!$J$10:$J$309,"Oui")</f>
        <v/>
      </c>
      <c r="G12" s="44">
        <f>SUMIFS('💸 Dépenses'!$I$10:$I$309,'💸 Dépenses'!$K$10:$K$309,5,'💸 Dépenses'!$J$10:$J$309,"Oui")</f>
        <v/>
      </c>
      <c r="H12" s="44">
        <f>SUMIFS('💸 Dépenses'!$I$10:$I$309,'💸 Dépenses'!$K$10:$K$309,6,'💸 Dépenses'!$J$10:$J$309,"Oui")</f>
        <v/>
      </c>
      <c r="I12" s="44">
        <f>SUMIFS('💸 Dépenses'!$I$10:$I$309,'💸 Dépenses'!$K$10:$K$309,7,'💸 Dépenses'!$J$10:$J$309,"Oui")</f>
        <v/>
      </c>
      <c r="J12" s="44">
        <f>SUMIFS('💸 Dépenses'!$I$10:$I$309,'💸 Dépenses'!$K$10:$K$309,8,'💸 Dépenses'!$J$10:$J$309,"Oui")</f>
        <v/>
      </c>
      <c r="K12" s="44">
        <f>SUMIFS('💸 Dépenses'!$I$10:$I$309,'💸 Dépenses'!$K$10:$K$309,9,'💸 Dépenses'!$J$10:$J$309,"Oui")</f>
        <v/>
      </c>
      <c r="L12" s="44">
        <f>SUMIFS('💸 Dépenses'!$I$10:$I$309,'💸 Dépenses'!$K$10:$K$309,10,'💸 Dépenses'!$J$10:$J$309,"Oui")</f>
        <v/>
      </c>
      <c r="M12" s="44">
        <f>SUMIFS('💸 Dépenses'!$I$10:$I$309,'💸 Dépenses'!$K$10:$K$309,11,'💸 Dépenses'!$J$10:$J$309,"Oui")</f>
        <v/>
      </c>
      <c r="N12" s="44">
        <f>SUMIFS('💸 Dépenses'!$I$10:$I$309,'💸 Dépenses'!$K$10:$K$309,12,'💸 Dépenses'!$J$10:$J$309,"Oui")</f>
        <v/>
      </c>
      <c r="O12" s="44">
        <f>SUM(C12:N12)</f>
        <v/>
      </c>
      <c r="P12" s="2" t="n"/>
    </row>
    <row r="13">
      <c r="A13" s="2" t="n"/>
      <c r="B13" s="50" t="inlineStr">
        <is>
          <t>Salaire net du dirigeant</t>
        </is>
      </c>
      <c r="C13" s="44">
        <f>SALAIRE_NET</f>
        <v/>
      </c>
      <c r="D13" s="44">
        <f>SALAIRE_NET</f>
        <v/>
      </c>
      <c r="E13" s="44">
        <f>SALAIRE_NET</f>
        <v/>
      </c>
      <c r="F13" s="44">
        <f>SALAIRE_NET</f>
        <v/>
      </c>
      <c r="G13" s="44">
        <f>SALAIRE_NET</f>
        <v/>
      </c>
      <c r="H13" s="44">
        <f>SALAIRE_NET</f>
        <v/>
      </c>
      <c r="I13" s="44">
        <f>SALAIRE_NET</f>
        <v/>
      </c>
      <c r="J13" s="44">
        <f>SALAIRE_NET</f>
        <v/>
      </c>
      <c r="K13" s="44">
        <f>SALAIRE_NET</f>
        <v/>
      </c>
      <c r="L13" s="44">
        <f>SALAIRE_NET</f>
        <v/>
      </c>
      <c r="M13" s="44">
        <f>SALAIRE_NET</f>
        <v/>
      </c>
      <c r="N13" s="44">
        <f>SALAIRE_NET</f>
        <v/>
      </c>
      <c r="O13" s="44">
        <f>SUM(C13:N13)</f>
        <v/>
      </c>
      <c r="P13" s="2" t="n"/>
    </row>
    <row r="14">
      <c r="A14" s="2" t="n"/>
      <c r="B14" s="50" t="inlineStr">
        <is>
          <t>Cotisations sociales URSSAF (estimation)</t>
        </is>
      </c>
      <c r="C14" s="44">
        <f>ROUND(SALAIRE_NET*TAUX_CHARGES,2)</f>
        <v/>
      </c>
      <c r="D14" s="44">
        <f>ROUND(SALAIRE_NET*TAUX_CHARGES,2)</f>
        <v/>
      </c>
      <c r="E14" s="44">
        <f>ROUND(SALAIRE_NET*TAUX_CHARGES,2)</f>
        <v/>
      </c>
      <c r="F14" s="44">
        <f>ROUND(SALAIRE_NET*TAUX_CHARGES,2)</f>
        <v/>
      </c>
      <c r="G14" s="44">
        <f>ROUND(SALAIRE_NET*TAUX_CHARGES,2)</f>
        <v/>
      </c>
      <c r="H14" s="44">
        <f>ROUND(SALAIRE_NET*TAUX_CHARGES,2)</f>
        <v/>
      </c>
      <c r="I14" s="44">
        <f>ROUND(SALAIRE_NET*TAUX_CHARGES,2)</f>
        <v/>
      </c>
      <c r="J14" s="44">
        <f>ROUND(SALAIRE_NET*TAUX_CHARGES,2)</f>
        <v/>
      </c>
      <c r="K14" s="44">
        <f>ROUND(SALAIRE_NET*TAUX_CHARGES,2)</f>
        <v/>
      </c>
      <c r="L14" s="44">
        <f>ROUND(SALAIRE_NET*TAUX_CHARGES,2)</f>
        <v/>
      </c>
      <c r="M14" s="44">
        <f>ROUND(SALAIRE_NET*TAUX_CHARGES,2)</f>
        <v/>
      </c>
      <c r="N14" s="44">
        <f>ROUND(SALAIRE_NET*TAUX_CHARGES,2)</f>
        <v/>
      </c>
      <c r="O14" s="44">
        <f>SUM(C14:N14)</f>
        <v/>
      </c>
      <c r="P14" s="2" t="n"/>
    </row>
    <row r="15">
      <c r="A15" s="2" t="n"/>
      <c r="B15" s="50" t="inlineStr">
        <is>
          <t>TVA décaissée (estimation)</t>
        </is>
      </c>
      <c r="C15" s="44">
        <f>MAX(0,'🧾 TVA &amp; Impôts'!$E$7)</f>
        <v/>
      </c>
      <c r="D15" s="44">
        <f>MAX(0,'🧾 TVA &amp; Impôts'!$E$8)</f>
        <v/>
      </c>
      <c r="E15" s="44">
        <f>MAX(0,'🧾 TVA &amp; Impôts'!$E$9)</f>
        <v/>
      </c>
      <c r="F15" s="44">
        <f>MAX(0,'🧾 TVA &amp; Impôts'!$E$10)</f>
        <v/>
      </c>
      <c r="G15" s="44">
        <f>MAX(0,'🧾 TVA &amp; Impôts'!$E$11)</f>
        <v/>
      </c>
      <c r="H15" s="44">
        <f>MAX(0,'🧾 TVA &amp; Impôts'!$E$12)</f>
        <v/>
      </c>
      <c r="I15" s="44">
        <f>MAX(0,'🧾 TVA &amp; Impôts'!$E$13)</f>
        <v/>
      </c>
      <c r="J15" s="44">
        <f>MAX(0,'🧾 TVA &amp; Impôts'!$E$14)</f>
        <v/>
      </c>
      <c r="K15" s="44">
        <f>MAX(0,'🧾 TVA &amp; Impôts'!$E$15)</f>
        <v/>
      </c>
      <c r="L15" s="44">
        <f>MAX(0,'🧾 TVA &amp; Impôts'!$E$16)</f>
        <v/>
      </c>
      <c r="M15" s="44">
        <f>MAX(0,'🧾 TVA &amp; Impôts'!$E$17)</f>
        <v/>
      </c>
      <c r="N15" s="44">
        <f>MAX(0,'🧾 TVA &amp; Impôts'!$E$18)</f>
        <v/>
      </c>
      <c r="O15" s="44">
        <f>SUM(C15:N15)</f>
        <v/>
      </c>
      <c r="P15" s="2" t="n"/>
    </row>
    <row r="16">
      <c r="A16" s="2" t="n"/>
      <c r="B16" s="50" t="inlineStr">
        <is>
          <t>Acompte d'IS (estimation)</t>
        </is>
      </c>
      <c r="C16" s="44">
        <f>IF(OR(1=3,1=6,1=9,1=12),'🧾 TVA &amp; Impôts'!$C$31,0)</f>
        <v/>
      </c>
      <c r="D16" s="44">
        <f>IF(OR(2=3,2=6,2=9,2=12),'🧾 TVA &amp; Impôts'!$C$31,0)</f>
        <v/>
      </c>
      <c r="E16" s="44">
        <f>IF(OR(3=3,3=6,3=9,3=12),'🧾 TVA &amp; Impôts'!$C$31,0)</f>
        <v/>
      </c>
      <c r="F16" s="44">
        <f>IF(OR(4=3,4=6,4=9,4=12),'🧾 TVA &amp; Impôts'!$C$31,0)</f>
        <v/>
      </c>
      <c r="G16" s="44">
        <f>IF(OR(5=3,5=6,5=9,5=12),'🧾 TVA &amp; Impôts'!$C$31,0)</f>
        <v/>
      </c>
      <c r="H16" s="44">
        <f>IF(OR(6=3,6=6,6=9,6=12),'🧾 TVA &amp; Impôts'!$C$31,0)</f>
        <v/>
      </c>
      <c r="I16" s="44">
        <f>IF(OR(7=3,7=6,7=9,7=12),'🧾 TVA &amp; Impôts'!$C$31,0)</f>
        <v/>
      </c>
      <c r="J16" s="44">
        <f>IF(OR(8=3,8=6,8=9,8=12),'🧾 TVA &amp; Impôts'!$C$31,0)</f>
        <v/>
      </c>
      <c r="K16" s="44">
        <f>IF(OR(9=3,9=6,9=9,9=12),'🧾 TVA &amp; Impôts'!$C$31,0)</f>
        <v/>
      </c>
      <c r="L16" s="44">
        <f>IF(OR(10=3,10=6,10=9,10=12),'🧾 TVA &amp; Impôts'!$C$31,0)</f>
        <v/>
      </c>
      <c r="M16" s="44">
        <f>IF(OR(11=3,11=6,11=9,11=12),'🧾 TVA &amp; Impôts'!$C$31,0)</f>
        <v/>
      </c>
      <c r="N16" s="44">
        <f>IF(OR(12=3,12=6,12=9,12=12),'🧾 TVA &amp; Impôts'!$C$31,0)</f>
        <v/>
      </c>
      <c r="O16" s="44">
        <f>SUM(C16:N16)</f>
        <v/>
      </c>
      <c r="P16" s="2" t="n"/>
    </row>
    <row r="17">
      <c r="A17" s="2" t="n"/>
      <c r="B17" s="50" t="inlineStr">
        <is>
          <t>CFE (estimation)</t>
        </is>
      </c>
      <c r="C17" s="44">
        <f>IF(1=12,CFE_ANNUELLE,0)</f>
        <v/>
      </c>
      <c r="D17" s="44">
        <f>IF(2=12,CFE_ANNUELLE,0)</f>
        <v/>
      </c>
      <c r="E17" s="44">
        <f>IF(3=12,CFE_ANNUELLE,0)</f>
        <v/>
      </c>
      <c r="F17" s="44">
        <f>IF(4=12,CFE_ANNUELLE,0)</f>
        <v/>
      </c>
      <c r="G17" s="44">
        <f>IF(5=12,CFE_ANNUELLE,0)</f>
        <v/>
      </c>
      <c r="H17" s="44">
        <f>IF(6=12,CFE_ANNUELLE,0)</f>
        <v/>
      </c>
      <c r="I17" s="44">
        <f>IF(7=12,CFE_ANNUELLE,0)</f>
        <v/>
      </c>
      <c r="J17" s="44">
        <f>IF(8=12,CFE_ANNUELLE,0)</f>
        <v/>
      </c>
      <c r="K17" s="44">
        <f>IF(9=12,CFE_ANNUELLE,0)</f>
        <v/>
      </c>
      <c r="L17" s="44">
        <f>IF(10=12,CFE_ANNUELLE,0)</f>
        <v/>
      </c>
      <c r="M17" s="44">
        <f>IF(11=12,CFE_ANNUELLE,0)</f>
        <v/>
      </c>
      <c r="N17" s="44">
        <f>IF(12=12,CFE_ANNUELLE,0)</f>
        <v/>
      </c>
      <c r="O17" s="44">
        <f>SUM(C17:N17)</f>
        <v/>
      </c>
      <c r="P17" s="2" t="n"/>
    </row>
    <row r="18">
      <c r="A18" s="2" t="n"/>
      <c r="B18" s="50" t="inlineStr">
        <is>
          <t>Autres décaissements</t>
        </is>
      </c>
      <c r="C18" s="70" t="n">
        <v>0</v>
      </c>
      <c r="D18" s="70" t="n">
        <v>0</v>
      </c>
      <c r="E18" s="70" t="n">
        <v>0</v>
      </c>
      <c r="F18" s="70" t="n">
        <v>0</v>
      </c>
      <c r="G18" s="70" t="n">
        <v>0</v>
      </c>
      <c r="H18" s="70" t="n">
        <v>0</v>
      </c>
      <c r="I18" s="70" t="n">
        <v>0</v>
      </c>
      <c r="J18" s="70" t="n">
        <v>0</v>
      </c>
      <c r="K18" s="70" t="n">
        <v>0</v>
      </c>
      <c r="L18" s="70" t="n">
        <v>0</v>
      </c>
      <c r="M18" s="70" t="n">
        <v>0</v>
      </c>
      <c r="N18" s="70" t="n">
        <v>0</v>
      </c>
      <c r="O18" s="44">
        <f>SUM(C18:N18)</f>
        <v/>
      </c>
      <c r="P18" s="2" t="n"/>
    </row>
    <row r="19">
      <c r="A19" s="2" t="n"/>
      <c r="B19" s="81" t="inlineStr">
        <is>
          <t>Total décaissements</t>
        </is>
      </c>
      <c r="C19" s="82">
        <f>SUM(C12:C18)</f>
        <v/>
      </c>
      <c r="D19" s="82">
        <f>SUM(D12:D18)</f>
        <v/>
      </c>
      <c r="E19" s="82">
        <f>SUM(E12:E18)</f>
        <v/>
      </c>
      <c r="F19" s="82">
        <f>SUM(F12:F18)</f>
        <v/>
      </c>
      <c r="G19" s="82">
        <f>SUM(G12:G18)</f>
        <v/>
      </c>
      <c r="H19" s="82">
        <f>SUM(H12:H18)</f>
        <v/>
      </c>
      <c r="I19" s="82">
        <f>SUM(I12:I18)</f>
        <v/>
      </c>
      <c r="J19" s="82">
        <f>SUM(J12:J18)</f>
        <v/>
      </c>
      <c r="K19" s="82">
        <f>SUM(K12:K18)</f>
        <v/>
      </c>
      <c r="L19" s="82">
        <f>SUM(L12:L18)</f>
        <v/>
      </c>
      <c r="M19" s="82">
        <f>SUM(M12:M18)</f>
        <v/>
      </c>
      <c r="N19" s="82">
        <f>SUM(N12:N18)</f>
        <v/>
      </c>
      <c r="O19" s="82">
        <f>SUM(C19:N19)</f>
        <v/>
      </c>
      <c r="P19" s="2" t="n"/>
    </row>
    <row r="20">
      <c r="A20" s="2" t="n"/>
      <c r="B20" s="81" t="inlineStr">
        <is>
          <t>SOLDE EN FIN DE MOIS</t>
        </is>
      </c>
      <c r="C20" s="80">
        <f>C6+C10-C19</f>
        <v/>
      </c>
      <c r="D20" s="80">
        <f>D6+D10-D19</f>
        <v/>
      </c>
      <c r="E20" s="80">
        <f>E6+E10-E19</f>
        <v/>
      </c>
      <c r="F20" s="80">
        <f>F6+F10-F19</f>
        <v/>
      </c>
      <c r="G20" s="80">
        <f>G6+G10-G19</f>
        <v/>
      </c>
      <c r="H20" s="80">
        <f>H6+H10-H19</f>
        <v/>
      </c>
      <c r="I20" s="80">
        <f>I6+I10-I19</f>
        <v/>
      </c>
      <c r="J20" s="80">
        <f>J6+J10-J19</f>
        <v/>
      </c>
      <c r="K20" s="80">
        <f>K6+K10-K19</f>
        <v/>
      </c>
      <c r="L20" s="80">
        <f>L6+L10-L19</f>
        <v/>
      </c>
      <c r="M20" s="80">
        <f>M6+M10-M19</f>
        <v/>
      </c>
      <c r="N20" s="80">
        <f>N6+N10-N19</f>
        <v/>
      </c>
      <c r="O20" s="80">
        <f>N20</f>
        <v/>
      </c>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sheetData>
  <mergeCells count="5">
    <mergeCell ref="A2:O2"/>
    <mergeCell ref="B7:O7"/>
    <mergeCell ref="A1:O1"/>
    <mergeCell ref="B11:O11"/>
    <mergeCell ref="B3:O3"/>
  </mergeCells>
  <conditionalFormatting sqref="C20:O20">
    <cfRule type="cellIs" priority="1" operator="lessThan" dxfId="3" stopIfTrue="1">
      <formula>0</formula>
    </cfRule>
    <cfRule type="cellIs" priority="2" operator="lessThan" dxfId="4">
      <formula>1000</formula>
    </cfRule>
  </conditionalFormatting>
  <pageMargins left="0.75" right="0.75" top="1" bottom="1" header="0.5" footer="0.5"/>
</worksheet>
</file>

<file path=xl/worksheets/sheet9.xml><?xml version="1.0" encoding="utf-8"?>
<worksheet xmlns="http://schemas.openxmlformats.org/spreadsheetml/2006/main">
  <sheetPr>
    <tabColor rgb="008B7D6B"/>
    <outlinePr summaryBelow="1" summaryRight="1"/>
    <pageSetUpPr/>
  </sheetPr>
  <dimension ref="A1:K36"/>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3" customWidth="1" min="6" max="6"/>
    <col width="26" customWidth="1" min="7" max="7"/>
    <col width="16" customWidth="1" min="8" max="8"/>
    <col width="3" customWidth="1" min="9" max="9"/>
  </cols>
  <sheetData>
    <row r="1" ht="30" customHeight="1">
      <c r="A1" s="1" t="inlineStr">
        <is>
          <t>🧾 TVA &amp; IMPÔTS</t>
        </is>
      </c>
      <c r="I1" s="2" t="n"/>
      <c r="J1" s="2" t="n"/>
      <c r="K1" s="2" t="n"/>
    </row>
    <row r="2" ht="16" customHeight="1">
      <c r="A2" s="3" t="inlineStr">
        <is>
          <t>En clair : ce que vous devrez reverser (TVA, URSSAF, IS, CFE) — estimé d'avance pour éviter les surprises.</t>
        </is>
      </c>
      <c r="I2" s="2" t="n"/>
      <c r="J2" s="2" t="n"/>
      <c r="K2" s="2" t="n"/>
    </row>
    <row r="3" ht="26" customHeight="1">
      <c r="A3" s="2" t="n"/>
      <c r="B3" s="53" t="inlineStr">
        <is>
          <t>💡 Aucune saisie ici (sauf la base IS, modifiable). En franchise en base de TVA, les montants de TVA sont automatiquement à zéro. Montants indicatifs : vérifiez les échéances réelles avec votre comptable.</t>
        </is>
      </c>
      <c r="I3" s="2" t="n"/>
      <c r="J3" s="2" t="n"/>
      <c r="K3" s="2" t="n"/>
    </row>
    <row r="4">
      <c r="A4" s="2" t="n"/>
      <c r="B4" s="2" t="n"/>
      <c r="C4" s="2" t="n"/>
      <c r="D4" s="2" t="n"/>
      <c r="E4" s="2" t="n"/>
      <c r="F4" s="2" t="n"/>
      <c r="G4" s="2" t="n"/>
      <c r="H4" s="2" t="n"/>
      <c r="I4" s="2" t="n"/>
      <c r="J4" s="2" t="n"/>
      <c r="K4" s="2" t="n"/>
    </row>
    <row r="5" ht="20" customHeight="1">
      <c r="A5" s="2" t="n"/>
      <c r="B5" s="40" t="inlineStr">
        <is>
          <t>TVA — SYNTHÈSE MENSUELLE (ESTIMATION)</t>
        </is>
      </c>
      <c r="F5" s="2" t="n"/>
      <c r="G5" s="19" t="inlineStr">
        <is>
          <t>TVA PAR TRIMESTRE (ESTIMATION)</t>
        </is>
      </c>
      <c r="I5" s="2" t="n"/>
      <c r="J5" s="2" t="n"/>
      <c r="K5" s="2" t="n"/>
    </row>
    <row r="6">
      <c r="A6" s="2" t="n"/>
      <c r="B6" s="41" t="inlineStr">
        <is>
          <t>Mois</t>
        </is>
      </c>
      <c r="C6" s="41" t="inlineStr">
        <is>
          <t>TVA collectée</t>
        </is>
      </c>
      <c r="D6" s="41" t="inlineStr">
        <is>
          <t>TVA déductible</t>
        </is>
      </c>
      <c r="E6" s="41" t="inlineStr">
        <is>
          <t>TVA à décaisser</t>
        </is>
      </c>
      <c r="F6" s="2" t="n"/>
      <c r="G6" s="50" t="inlineStr">
        <is>
          <t>T1 (janv.–mars)</t>
        </is>
      </c>
      <c r="H6" s="87">
        <f>SUM($E$7:$E$9)</f>
        <v/>
      </c>
      <c r="I6" s="2" t="n"/>
      <c r="J6" s="2" t="n"/>
      <c r="K6" s="2" t="n"/>
    </row>
    <row r="7">
      <c r="A7" s="2" t="n"/>
      <c r="B7" s="89" t="inlineStr">
        <is>
          <t>Janv</t>
        </is>
      </c>
      <c r="C7" s="87">
        <f>IF(REGIME_TVA="Franchise en base",0,SUMIFS('💰 Recettes'!$G$10:$G$209,'💰 Recettes'!$J$10:$J$209,1))</f>
        <v/>
      </c>
      <c r="D7" s="87">
        <f>IF(REGIME_TVA="Franchise en base",0,SUMIFS('💸 Dépenses'!$H$10:$H$309,'💸 Dépenses'!$K$10:$K$309,1))</f>
        <v/>
      </c>
      <c r="E7" s="87">
        <f>C7-D7</f>
        <v/>
      </c>
      <c r="F7" s="2" t="n"/>
      <c r="G7" s="50" t="inlineStr">
        <is>
          <t>T2 (avr.–juin)</t>
        </is>
      </c>
      <c r="H7" s="87">
        <f>SUM($E$10:$E$12)</f>
        <v/>
      </c>
      <c r="I7" s="2" t="n"/>
      <c r="J7" s="2" t="n"/>
      <c r="K7" s="2" t="n"/>
    </row>
    <row r="8">
      <c r="A8" s="2" t="n"/>
      <c r="B8" s="89" t="inlineStr">
        <is>
          <t>Févr</t>
        </is>
      </c>
      <c r="C8" s="85">
        <f>IF(REGIME_TVA="Franchise en base",0,SUMIFS('💰 Recettes'!$G$10:$G$209,'💰 Recettes'!$J$10:$J$209,2))</f>
        <v/>
      </c>
      <c r="D8" s="85">
        <f>IF(REGIME_TVA="Franchise en base",0,SUMIFS('💸 Dépenses'!$H$10:$H$309,'💸 Dépenses'!$K$10:$K$309,2))</f>
        <v/>
      </c>
      <c r="E8" s="85">
        <f>C8-D8</f>
        <v/>
      </c>
      <c r="F8" s="2" t="n"/>
      <c r="G8" s="50" t="inlineStr">
        <is>
          <t>T3 (juil.–sept.)</t>
        </is>
      </c>
      <c r="H8" s="87">
        <f>SUM($E$13:$E$15)</f>
        <v/>
      </c>
      <c r="I8" s="2" t="n"/>
      <c r="J8" s="2" t="n"/>
      <c r="K8" s="2" t="n"/>
    </row>
    <row r="9">
      <c r="A9" s="2" t="n"/>
      <c r="B9" s="89" t="inlineStr">
        <is>
          <t>Mars</t>
        </is>
      </c>
      <c r="C9" s="87">
        <f>IF(REGIME_TVA="Franchise en base",0,SUMIFS('💰 Recettes'!$G$10:$G$209,'💰 Recettes'!$J$10:$J$209,3))</f>
        <v/>
      </c>
      <c r="D9" s="87">
        <f>IF(REGIME_TVA="Franchise en base",0,SUMIFS('💸 Dépenses'!$H$10:$H$309,'💸 Dépenses'!$K$10:$K$309,3))</f>
        <v/>
      </c>
      <c r="E9" s="87">
        <f>C9-D9</f>
        <v/>
      </c>
      <c r="F9" s="2" t="n"/>
      <c r="G9" s="50" t="inlineStr">
        <is>
          <t>T4 (oct.–déc.)</t>
        </is>
      </c>
      <c r="H9" s="87">
        <f>SUM($E$16:$E$18)</f>
        <v/>
      </c>
      <c r="I9" s="2" t="n"/>
      <c r="J9" s="2" t="n"/>
      <c r="K9" s="2" t="n"/>
    </row>
    <row r="10">
      <c r="A10" s="2" t="n"/>
      <c r="B10" s="89" t="inlineStr">
        <is>
          <t>Avr</t>
        </is>
      </c>
      <c r="C10" s="85">
        <f>IF(REGIME_TVA="Franchise en base",0,SUMIFS('💰 Recettes'!$G$10:$G$209,'💰 Recettes'!$J$10:$J$209,4))</f>
        <v/>
      </c>
      <c r="D10" s="85">
        <f>IF(REGIME_TVA="Franchise en base",0,SUMIFS('💸 Dépenses'!$H$10:$H$309,'💸 Dépenses'!$K$10:$K$309,4))</f>
        <v/>
      </c>
      <c r="E10" s="85">
        <f>C10-D10</f>
        <v/>
      </c>
      <c r="F10" s="2" t="n"/>
      <c r="G10" s="74" t="inlineStr">
        <is>
          <t>Réel simplifié : acomptes en juillet et décembre, régularisation en mai.</t>
        </is>
      </c>
      <c r="I10" s="2" t="n"/>
      <c r="J10" s="2" t="n"/>
      <c r="K10" s="2" t="n"/>
    </row>
    <row r="11">
      <c r="A11" s="2" t="n"/>
      <c r="B11" s="89" t="inlineStr">
        <is>
          <t>Mai</t>
        </is>
      </c>
      <c r="C11" s="87">
        <f>IF(REGIME_TVA="Franchise en base",0,SUMIFS('💰 Recettes'!$G$10:$G$209,'💰 Recettes'!$J$10:$J$209,5))</f>
        <v/>
      </c>
      <c r="D11" s="87">
        <f>IF(REGIME_TVA="Franchise en base",0,SUMIFS('💸 Dépenses'!$H$10:$H$309,'💸 Dépenses'!$K$10:$K$309,5))</f>
        <v/>
      </c>
      <c r="E11" s="87">
        <f>C11-D11</f>
        <v/>
      </c>
      <c r="F11" s="2" t="n"/>
      <c r="G11" s="2" t="n"/>
      <c r="H11" s="2" t="n"/>
      <c r="I11" s="2" t="n"/>
      <c r="J11" s="2" t="n"/>
      <c r="K11" s="2" t="n"/>
    </row>
    <row r="12" ht="20" customHeight="1">
      <c r="A12" s="2" t="n"/>
      <c r="B12" s="89" t="inlineStr">
        <is>
          <t>Juin</t>
        </is>
      </c>
      <c r="C12" s="85">
        <f>IF(REGIME_TVA="Franchise en base",0,SUMIFS('💰 Recettes'!$G$10:$G$209,'💰 Recettes'!$J$10:$J$209,6))</f>
        <v/>
      </c>
      <c r="D12" s="85">
        <f>IF(REGIME_TVA="Franchise en base",0,SUMIFS('💸 Dépenses'!$H$10:$H$309,'💸 Dépenses'!$K$10:$K$309,6))</f>
        <v/>
      </c>
      <c r="E12" s="85">
        <f>C12-D12</f>
        <v/>
      </c>
      <c r="F12" s="2" t="n"/>
      <c r="G12" s="94" t="inlineStr">
        <is>
          <t>💡 À PROVISIONNER CE MOIS-CI (ESTIMATION)</t>
        </is>
      </c>
      <c r="H12" s="95" t="n"/>
      <c r="I12" s="2" t="n"/>
      <c r="J12" s="2" t="n"/>
      <c r="K12" s="2" t="n"/>
    </row>
    <row r="13">
      <c r="A13" s="2" t="n"/>
      <c r="B13" s="89" t="inlineStr">
        <is>
          <t>Juil</t>
        </is>
      </c>
      <c r="C13" s="87">
        <f>IF(REGIME_TVA="Franchise en base",0,SUMIFS('💰 Recettes'!$G$10:$G$209,'💰 Recettes'!$J$10:$J$209,7))</f>
        <v/>
      </c>
      <c r="D13" s="87">
        <f>IF(REGIME_TVA="Franchise en base",0,SUMIFS('💸 Dépenses'!$H$10:$H$309,'💸 Dépenses'!$K$10:$K$309,7))</f>
        <v/>
      </c>
      <c r="E13" s="87">
        <f>C13-D13</f>
        <v/>
      </c>
      <c r="F13" s="2" t="n"/>
      <c r="G13" s="96" t="inlineStr">
        <is>
          <t>TVA du mois (estimation)</t>
        </is>
      </c>
      <c r="H13" s="97">
        <f>MAX(0,INDEX($E$7:$E$18,IF(YEAR(TODAY())&gt;ANNEE,12,IF(YEAR(TODAY())&lt;ANNEE,1,MONTH(TODAY())))))</f>
        <v/>
      </c>
      <c r="I13" s="2" t="n"/>
      <c r="J13" s="2" t="n"/>
      <c r="K13" s="2" t="n"/>
    </row>
    <row r="14">
      <c r="A14" s="2" t="n"/>
      <c r="B14" s="89" t="inlineStr">
        <is>
          <t>Août</t>
        </is>
      </c>
      <c r="C14" s="85">
        <f>IF(REGIME_TVA="Franchise en base",0,SUMIFS('💰 Recettes'!$G$10:$G$209,'💰 Recettes'!$J$10:$J$209,8))</f>
        <v/>
      </c>
      <c r="D14" s="85">
        <f>IF(REGIME_TVA="Franchise en base",0,SUMIFS('💸 Dépenses'!$H$10:$H$309,'💸 Dépenses'!$K$10:$K$309,8))</f>
        <v/>
      </c>
      <c r="E14" s="85">
        <f>C14-D14</f>
        <v/>
      </c>
      <c r="F14" s="2" t="n"/>
      <c r="G14" s="96" t="inlineStr">
        <is>
          <t>Cotisations URSSAF (estimation)</t>
        </is>
      </c>
      <c r="H14" s="97">
        <f>ROUND(SALAIRE_NET*TAUX_CHARGES,2)</f>
        <v/>
      </c>
      <c r="I14" s="2" t="n"/>
      <c r="J14" s="2" t="n"/>
      <c r="K14" s="2" t="n"/>
    </row>
    <row r="15">
      <c r="A15" s="2" t="n"/>
      <c r="B15" s="89" t="inlineStr">
        <is>
          <t>Sept</t>
        </is>
      </c>
      <c r="C15" s="87">
        <f>IF(REGIME_TVA="Franchise en base",0,SUMIFS('💰 Recettes'!$G$10:$G$209,'💰 Recettes'!$J$10:$J$209,9))</f>
        <v/>
      </c>
      <c r="D15" s="87">
        <f>IF(REGIME_TVA="Franchise en base",0,SUMIFS('💸 Dépenses'!$H$10:$H$309,'💸 Dépenses'!$K$10:$K$309,9))</f>
        <v/>
      </c>
      <c r="E15" s="87">
        <f>C15-D15</f>
        <v/>
      </c>
      <c r="F15" s="2" t="n"/>
      <c r="G15" s="96" t="inlineStr">
        <is>
          <t>Acompte d'IS (estimation)</t>
        </is>
      </c>
      <c r="H15" s="97">
        <f>IF(OR(IF(YEAR(TODAY())&gt;ANNEE,12,IF(YEAR(TODAY())&lt;ANNEE,1,MONTH(TODAY())))=3,IF(YEAR(TODAY())&gt;ANNEE,12,IF(YEAR(TODAY())&lt;ANNEE,1,MONTH(TODAY())))=6,IF(YEAR(TODAY())&gt;ANNEE,12,IF(YEAR(TODAY())&lt;ANNEE,1,MONTH(TODAY())))=9,IF(YEAR(TODAY())&gt;ANNEE,12,IF(YEAR(TODAY())&lt;ANNEE,1,MONTH(TODAY())))=12),$C$31,0)</f>
        <v/>
      </c>
      <c r="I15" s="2" t="n"/>
      <c r="J15" s="2" t="n"/>
      <c r="K15" s="2" t="n"/>
    </row>
    <row r="16">
      <c r="A16" s="2" t="n"/>
      <c r="B16" s="89" t="inlineStr">
        <is>
          <t>Oct</t>
        </is>
      </c>
      <c r="C16" s="85">
        <f>IF(REGIME_TVA="Franchise en base",0,SUMIFS('💰 Recettes'!$G$10:$G$209,'💰 Recettes'!$J$10:$J$209,10))</f>
        <v/>
      </c>
      <c r="D16" s="85">
        <f>IF(REGIME_TVA="Franchise en base",0,SUMIFS('💸 Dépenses'!$H$10:$H$309,'💸 Dépenses'!$K$10:$K$309,10))</f>
        <v/>
      </c>
      <c r="E16" s="85">
        <f>C16-D16</f>
        <v/>
      </c>
      <c r="F16" s="2" t="n"/>
      <c r="G16" s="96" t="inlineStr">
        <is>
          <t>CFE — 15 décembre (estimation)</t>
        </is>
      </c>
      <c r="H16" s="97">
        <f>IF(IF(YEAR(TODAY())&gt;ANNEE,12,IF(YEAR(TODAY())&lt;ANNEE,1,MONTH(TODAY())))=12,CFE_ANNUELLE,0)</f>
        <v/>
      </c>
      <c r="I16" s="2" t="n"/>
      <c r="J16" s="2" t="n"/>
      <c r="K16" s="2" t="n"/>
    </row>
    <row r="17">
      <c r="A17" s="2" t="n"/>
      <c r="B17" s="89" t="inlineStr">
        <is>
          <t>Nov</t>
        </is>
      </c>
      <c r="C17" s="87">
        <f>IF(REGIME_TVA="Franchise en base",0,SUMIFS('💰 Recettes'!$G$10:$G$209,'💰 Recettes'!$J$10:$J$209,11))</f>
        <v/>
      </c>
      <c r="D17" s="87">
        <f>IF(REGIME_TVA="Franchise en base",0,SUMIFS('💸 Dépenses'!$H$10:$H$309,'💸 Dépenses'!$K$10:$K$309,11))</f>
        <v/>
      </c>
      <c r="E17" s="87">
        <f>C17-D17</f>
        <v/>
      </c>
      <c r="F17" s="2" t="n"/>
      <c r="G17" s="98" t="inlineStr">
        <is>
          <t>TOTAL À PROVISIONNER</t>
        </is>
      </c>
      <c r="H17" s="99">
        <f>SUM(H13:H16)</f>
        <v/>
      </c>
      <c r="I17" s="2" t="n"/>
      <c r="J17" s="2" t="n"/>
      <c r="K17" s="2" t="n"/>
    </row>
    <row r="18">
      <c r="A18" s="2" t="n"/>
      <c r="B18" s="89" t="inlineStr">
        <is>
          <t>Déc</t>
        </is>
      </c>
      <c r="C18" s="85">
        <f>IF(REGIME_TVA="Franchise en base",0,SUMIFS('💰 Recettes'!$G$10:$G$209,'💰 Recettes'!$J$10:$J$209,12))</f>
        <v/>
      </c>
      <c r="D18" s="85">
        <f>IF(REGIME_TVA="Franchise en base",0,SUMIFS('💸 Dépenses'!$H$10:$H$309,'💸 Dépenses'!$K$10:$K$309,12))</f>
        <v/>
      </c>
      <c r="E18" s="85">
        <f>C18-D18</f>
        <v/>
      </c>
      <c r="F18" s="2" t="n"/>
      <c r="G18" s="2" t="n"/>
      <c r="H18" s="2" t="n"/>
      <c r="I18" s="2" t="n"/>
      <c r="J18" s="2" t="n"/>
      <c r="K18" s="2" t="n"/>
    </row>
    <row r="19">
      <c r="A19" s="2" t="n"/>
      <c r="B19" s="79" t="inlineStr">
        <is>
          <t>Total annuel</t>
        </is>
      </c>
      <c r="C19" s="100">
        <f>SUM(C7:C18)</f>
        <v/>
      </c>
      <c r="D19" s="100">
        <f>SUM(D7:D18)</f>
        <v/>
      </c>
      <c r="E19" s="100">
        <f>SUM(E7:E18)</f>
        <v/>
      </c>
      <c r="F19" s="2" t="n"/>
      <c r="G19" s="2" t="n"/>
      <c r="H19" s="2" t="n"/>
      <c r="I19" s="2" t="n"/>
      <c r="J19" s="2" t="n"/>
      <c r="K19" s="2" t="n"/>
    </row>
    <row r="20">
      <c r="A20" s="2" t="n"/>
      <c r="B20" s="2" t="n"/>
      <c r="C20" s="2" t="n"/>
      <c r="D20" s="2" t="n"/>
      <c r="E20" s="2" t="n"/>
      <c r="F20" s="2" t="n"/>
      <c r="G20" s="2" t="n"/>
      <c r="H20" s="2" t="n"/>
      <c r="I20" s="2" t="n"/>
      <c r="J20" s="2" t="n"/>
      <c r="K20" s="2" t="n"/>
    </row>
    <row r="21" ht="20" customHeight="1">
      <c r="A21" s="2" t="n"/>
      <c r="B21" s="40" t="inlineStr">
        <is>
          <t>COTISATIONS SOCIALES DU DIRIGEANT — URSSAF (ESTIMATION)</t>
        </is>
      </c>
      <c r="F21" s="2" t="n"/>
      <c r="G21" s="19" t="inlineStr">
        <is>
          <t>CFE (ESTIMATION)</t>
        </is>
      </c>
      <c r="I21" s="2" t="n"/>
      <c r="J21" s="2" t="n"/>
      <c r="K21" s="2" t="n"/>
    </row>
    <row r="22">
      <c r="A22" s="2" t="n"/>
      <c r="B22" s="50" t="inlineStr">
        <is>
          <t>Statut</t>
        </is>
      </c>
      <c r="C22" s="101">
        <f>STATUT</f>
        <v/>
      </c>
      <c r="D22" s="49" t="n"/>
      <c r="E22" s="42" t="n"/>
      <c r="F22" s="2" t="n"/>
      <c r="G22" s="50" t="inlineStr">
        <is>
          <t>Montant estimé (⚙️ Paramètres)</t>
        </is>
      </c>
      <c r="H22" s="87">
        <f>CFE_ANNUELLE</f>
        <v/>
      </c>
      <c r="I22" s="2" t="n"/>
      <c r="J22" s="2" t="n"/>
      <c r="K22" s="2" t="n"/>
    </row>
    <row r="23">
      <c r="A23" s="2" t="n"/>
      <c r="B23" s="50" t="inlineStr">
        <is>
          <t>Taux de charges (sur le net)</t>
        </is>
      </c>
      <c r="C23" s="76">
        <f>TAUX_CHARGES</f>
        <v/>
      </c>
      <c r="D23" s="2" t="n"/>
      <c r="E23" s="2" t="n"/>
      <c r="F23" s="2" t="n"/>
      <c r="G23" s="50" t="inlineStr">
        <is>
          <t>Échéance</t>
        </is>
      </c>
      <c r="H23" s="89" t="inlineStr">
        <is>
          <t>15 décembre</t>
        </is>
      </c>
      <c r="I23" s="2" t="n"/>
      <c r="J23" s="2" t="n"/>
      <c r="K23" s="2" t="n"/>
    </row>
    <row r="24">
      <c r="A24" s="2" t="n"/>
      <c r="B24" s="50" t="inlineStr">
        <is>
          <t>Salaire net mensuel</t>
        </is>
      </c>
      <c r="C24" s="87">
        <f>SALAIRE_NET</f>
        <v/>
      </c>
      <c r="D24" s="2" t="n"/>
      <c r="E24" s="2" t="n"/>
      <c r="F24" s="2" t="n"/>
      <c r="G24" s="2" t="n"/>
      <c r="H24" s="2" t="n"/>
      <c r="I24" s="2" t="n"/>
      <c r="J24" s="2" t="n"/>
      <c r="K24" s="2" t="n"/>
    </row>
    <row r="25">
      <c r="A25" s="2" t="n"/>
      <c r="B25" s="50" t="inlineStr">
        <is>
          <t>Cotisations mensuelles (estimation)</t>
        </is>
      </c>
      <c r="C25" s="102">
        <f>ROUND(SALAIRE_NET*TAUX_CHARGES,2)</f>
        <v/>
      </c>
      <c r="D25" s="2" t="n"/>
      <c r="E25" s="2" t="n"/>
      <c r="F25" s="2" t="n"/>
      <c r="G25" s="2" t="n"/>
      <c r="H25" s="2" t="n"/>
      <c r="I25" s="2" t="n"/>
      <c r="J25" s="2" t="n"/>
      <c r="K25" s="2" t="n"/>
    </row>
    <row r="26">
      <c r="A26" s="2" t="n"/>
      <c r="B26" s="50" t="inlineStr">
        <is>
          <t>Cotisations annuelles (estimation)</t>
        </is>
      </c>
      <c r="C26" s="102">
        <f>$C$25*12</f>
        <v/>
      </c>
      <c r="D26" s="2" t="n"/>
      <c r="E26" s="2" t="n"/>
      <c r="F26" s="2" t="n"/>
      <c r="G26" s="2" t="n"/>
      <c r="H26" s="2" t="n"/>
      <c r="I26" s="2" t="n"/>
      <c r="J26" s="2" t="n"/>
      <c r="K26" s="2" t="n"/>
    </row>
    <row r="27">
      <c r="A27" s="2" t="n"/>
      <c r="B27" s="74" t="inlineStr">
        <is>
          <t>Taux moyens indicatifs (modifiables dans ⚙️ Paramètres), à ajuster selon votre situation.</t>
        </is>
      </c>
      <c r="F27" s="2" t="n"/>
      <c r="G27" s="2" t="n"/>
      <c r="H27" s="2" t="n"/>
      <c r="I27" s="2" t="n"/>
      <c r="J27" s="2" t="n"/>
      <c r="K27" s="2" t="n"/>
    </row>
    <row r="28" ht="20" customHeight="1">
      <c r="A28" s="2" t="n"/>
      <c r="B28" s="40" t="inlineStr">
        <is>
          <t>IMPÔT SUR LES SOCIÉTÉS (ESTIMATION)</t>
        </is>
      </c>
      <c r="F28" s="2" t="n"/>
      <c r="G28" s="2" t="n"/>
      <c r="H28" s="2" t="n"/>
      <c r="I28" s="2" t="n"/>
      <c r="J28" s="2" t="n"/>
      <c r="K28" s="2" t="n"/>
    </row>
    <row r="29">
      <c r="A29" s="2" t="n"/>
      <c r="B29" s="50" t="inlineStr">
        <is>
          <t>Base : résultat prévisionnel annuel (modifiable)</t>
        </is>
      </c>
      <c r="C29" s="70">
        <f>'📋 Budget'!$O$33</f>
        <v/>
      </c>
      <c r="D29" s="2" t="n"/>
      <c r="E29" s="2" t="n"/>
      <c r="F29" s="2" t="n"/>
      <c r="G29" s="2" t="n"/>
      <c r="H29" s="2" t="n"/>
      <c r="I29" s="2" t="n"/>
      <c r="J29" s="2" t="n"/>
      <c r="K29" s="2" t="n"/>
    </row>
    <row r="30">
      <c r="A30" s="2" t="n"/>
      <c r="B30" s="50" t="inlineStr">
        <is>
          <t>IS estimé (barème 15 % / 25 %)</t>
        </is>
      </c>
      <c r="C30" s="102">
        <f>IF($C$29&lt;=0,0,IF($C$29&lt;=SEUIL_IS,ROUND($C$29*TAUX_IS_REDUIT,2),ROUND(SEUIL_IS*TAUX_IS_REDUIT+($C$29-SEUIL_IS)*TAUX_IS_NORMAL,2)))</f>
        <v/>
      </c>
      <c r="D30" s="2" t="n"/>
      <c r="E30" s="2" t="n"/>
      <c r="F30" s="2" t="n"/>
      <c r="G30" s="2" t="n"/>
      <c r="H30" s="2" t="n"/>
      <c r="I30" s="2" t="n"/>
      <c r="J30" s="2" t="n"/>
      <c r="K30" s="2" t="n"/>
    </row>
    <row r="31">
      <c r="A31" s="2" t="n"/>
      <c r="B31" s="50" t="inlineStr">
        <is>
          <t>Acompte trimestriel (IS ÷ 4)</t>
        </is>
      </c>
      <c r="C31" s="87">
        <f>ROUND($C$30/4,2)</f>
        <v/>
      </c>
      <c r="D31" s="2" t="n"/>
      <c r="E31" s="2" t="n"/>
      <c r="F31" s="2" t="n"/>
      <c r="G31" s="2" t="n"/>
      <c r="H31" s="2" t="n"/>
      <c r="I31" s="2" t="n"/>
      <c r="J31" s="2" t="n"/>
      <c r="K31" s="2" t="n"/>
    </row>
    <row r="32">
      <c r="A32" s="2" t="n"/>
      <c r="B32" s="74" t="inlineStr">
        <is>
          <t>Échéances des acomptes : 15 mars · 15 juin · 15 septembre · 15 décembre.</t>
        </is>
      </c>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sheetData>
  <mergeCells count="13">
    <mergeCell ref="G21:H21"/>
    <mergeCell ref="B27:E27"/>
    <mergeCell ref="G12:H12"/>
    <mergeCell ref="A2:H2"/>
    <mergeCell ref="G10:H10"/>
    <mergeCell ref="B21:E21"/>
    <mergeCell ref="C22:E22"/>
    <mergeCell ref="G5:H5"/>
    <mergeCell ref="B5:E5"/>
    <mergeCell ref="A1:H1"/>
    <mergeCell ref="B3:H3"/>
    <mergeCell ref="B28:E28"/>
    <mergeCell ref="B32:E32"/>
  </mergeCells>
  <pageMargins left="0.75" right="0.75" top="1" bottom="1" header="0.5" footer="0.5"/>
</worksheet>
</file>

<file path=xl/worksheets/sheet10.xml><?xml version="1.0" encoding="utf-8"?>
<worksheet xmlns="http://schemas.openxmlformats.org/spreadsheetml/2006/main">
  <sheetPr>
    <tabColor rgb="008B7D6B"/>
    <outlinePr summaryBelow="1" summaryRight="1"/>
    <pageSetUpPr/>
  </sheetPr>
  <dimension ref="A1:K50"/>
  <sheetViews>
    <sheetView showGridLines="0" workbookViewId="0">
      <pane ySplit="10" topLeftCell="A11" activePane="bottomLeft" state="frozen"/>
      <selection pane="bottomLeft" activeCell="A1" sqref="A1"/>
    </sheetView>
  </sheetViews>
  <sheetFormatPr baseColWidth="8" defaultRowHeight="15"/>
  <cols>
    <col width="2.5" customWidth="1" min="1" max="1"/>
    <col width="13" customWidth="1" min="2" max="2"/>
    <col width="18" customWidth="1" min="3" max="3"/>
    <col width="42" customWidth="1" min="4" max="4"/>
    <col width="14" customWidth="1" min="5" max="5"/>
    <col width="12" customWidth="1" min="6" max="6"/>
    <col width="22" customWidth="1" min="7" max="7"/>
    <col width="3" customWidth="1" min="8" max="8"/>
    <col width="30" customWidth="1" min="9" max="9"/>
    <col width="14" customWidth="1" min="10" max="10"/>
  </cols>
  <sheetData>
    <row r="1" ht="30" customHeight="1">
      <c r="A1" s="1" t="inlineStr">
        <is>
          <t>📅 ÉCHÉANCIER FISCAL &amp; SOCIAL</t>
        </is>
      </c>
      <c r="K1" s="2" t="n"/>
    </row>
    <row r="2" ht="16" customHeight="1">
      <c r="A2" s="3" t="inlineStr">
        <is>
          <t>En clair : toutes vos dates limites (TVA, URSSAF, IS, CFE) au même endroit — fini les mauvaises surprises.</t>
        </is>
      </c>
      <c r="K2" s="2" t="n"/>
    </row>
    <row r="3" ht="26" customHeight="1">
      <c r="A3" s="2" t="n"/>
      <c r="B3" s="53" t="inlineStr">
        <is>
          <t>💡 Les lignes s'adaptent automatiquement à votre régime de TVA (⚙️ Paramètres). Passez une échéance en « Payé » quand c'est réglé : le compte à rebours et les totaux se mettent à jour seuls.</t>
        </is>
      </c>
      <c r="K3" s="2" t="n"/>
    </row>
    <row r="4">
      <c r="A4" s="2" t="n"/>
      <c r="B4" s="2" t="n"/>
      <c r="C4" s="2" t="n"/>
      <c r="D4" s="2" t="n"/>
      <c r="E4" s="2" t="n"/>
      <c r="F4" s="2" t="n"/>
      <c r="G4" s="2" t="n"/>
      <c r="H4" s="2" t="n"/>
      <c r="I4" s="6" t="inlineStr">
        <is>
          <t>Zone de calcul — ne pas supprimer</t>
        </is>
      </c>
      <c r="K4" s="2" t="n"/>
    </row>
    <row r="5" ht="16" customHeight="1">
      <c r="A5" s="2" t="n"/>
      <c r="B5" s="7" t="inlineStr">
        <is>
          <t>PROCHAINE ÉCHÉANCE</t>
        </is>
      </c>
      <c r="C5" s="8" t="n"/>
      <c r="D5" s="7" t="inlineStr">
        <is>
          <t>À PRÉVOIR CE MOIS-CI</t>
        </is>
      </c>
      <c r="E5" s="8" t="n"/>
      <c r="F5" s="7" t="inlineStr">
        <is>
          <t>RESTE À PAYER SUR L'ANNÉE</t>
        </is>
      </c>
      <c r="G5" s="8" t="n"/>
      <c r="H5" s="2" t="n"/>
      <c r="I5" s="6" t="inlineStr">
        <is>
          <t>Prochaine échéance (date)</t>
        </is>
      </c>
      <c r="J5" s="103">
        <f>IF(COUNT($H$11:$H$43)=0,0,MIN($H$11:$H$43))</f>
        <v/>
      </c>
      <c r="K5" s="2" t="n"/>
    </row>
    <row r="6" ht="26" customHeight="1">
      <c r="A6" s="2" t="n"/>
      <c r="B6" s="12">
        <f>IF($J$5=0,"—",$J$5)</f>
        <v/>
      </c>
      <c r="C6" s="11" t="n"/>
      <c r="D6" s="10">
        <f>$J$9</f>
        <v/>
      </c>
      <c r="E6" s="11" t="n"/>
      <c r="F6" s="10">
        <f>$J$10</f>
        <v/>
      </c>
      <c r="G6" s="11" t="n"/>
      <c r="H6" s="2" t="n"/>
      <c r="I6" s="6" t="inlineStr">
        <is>
          <t>Prochaine échéance (nature)</t>
        </is>
      </c>
      <c r="J6" s="104">
        <f>IF($J$5=0,"—",INDEX($D$11:$D$43,MATCH($J$5,$B$11:$B$43,0)))</f>
        <v/>
      </c>
      <c r="K6" s="2" t="n"/>
    </row>
    <row r="7" ht="20" customHeight="1">
      <c r="A7" s="2" t="n"/>
      <c r="B7" s="14">
        <f>IF($J$5=0,"aucune échéance à venir",$J$6&amp;" · dans "&amp;$J$8&amp;" j")</f>
        <v/>
      </c>
      <c r="C7" s="15" t="n"/>
      <c r="D7" s="14" t="inlineStr">
        <is>
          <t>échéances non payées du mois (estimation)</t>
        </is>
      </c>
      <c r="E7" s="15" t="n"/>
      <c r="F7" s="14" t="inlineStr">
        <is>
          <t>toutes échéances à venir (estimation)</t>
        </is>
      </c>
      <c r="G7" s="15" t="n"/>
      <c r="H7" s="2" t="n"/>
      <c r="I7" s="6" t="inlineStr">
        <is>
          <t>Prochaine échéance (montant)</t>
        </is>
      </c>
      <c r="J7" s="13">
        <f>IF($J$5=0,0,INDEX($E$11:$E$43,MATCH($J$5,$B$11:$B$43,0)))</f>
        <v/>
      </c>
      <c r="K7" s="2" t="n"/>
    </row>
    <row r="8">
      <c r="A8" s="2" t="n"/>
      <c r="B8" s="2" t="n"/>
      <c r="C8" s="2" t="n"/>
      <c r="D8" s="2" t="n"/>
      <c r="E8" s="2" t="n"/>
      <c r="F8" s="2" t="n"/>
      <c r="G8" s="2" t="n"/>
      <c r="H8" s="2" t="n"/>
      <c r="I8" s="6" t="inlineStr">
        <is>
          <t>Prochaine échéance (jours)</t>
        </is>
      </c>
      <c r="J8" s="9">
        <f>IF($J$5=0,0,$J$5-TODAY())</f>
        <v/>
      </c>
      <c r="K8" s="2" t="n"/>
    </row>
    <row r="9">
      <c r="A9" s="2" t="n"/>
      <c r="B9" s="2" t="n"/>
      <c r="C9" s="2" t="n"/>
      <c r="D9" s="2" t="n"/>
      <c r="E9" s="2" t="n"/>
      <c r="F9" s="2" t="n"/>
      <c r="G9" s="2" t="n"/>
      <c r="H9" s="2" t="n"/>
      <c r="I9" s="6" t="inlineStr">
        <is>
          <t>À prévoir ce mois-ci</t>
        </is>
      </c>
      <c r="J9" s="13">
        <f>SUMIFS($E$11:$E$43,$B$11:$B$43,"&gt;="&amp;DATE(ANNEE,IF(YEAR(TODAY())&gt;ANNEE,12,IF(YEAR(TODAY())&lt;ANNEE,1,MONTH(TODAY()))),1),$B$11:$B$43,"&lt;"&amp;DATE(ANNEE,IF(YEAR(TODAY())&gt;ANNEE,12,IF(YEAR(TODAY())&lt;ANNEE,1,MONTH(TODAY())))+1,1),$F$11:$F$43,"&lt;&gt;Payé")</f>
        <v/>
      </c>
      <c r="K9" s="2" t="n"/>
    </row>
    <row r="10" ht="22" customHeight="1">
      <c r="A10" s="2" t="n"/>
      <c r="B10" s="83" t="inlineStr">
        <is>
          <t>Date</t>
        </is>
      </c>
      <c r="C10" s="83" t="inlineStr">
        <is>
          <t>Organisme</t>
        </is>
      </c>
      <c r="D10" s="83" t="inlineStr">
        <is>
          <t>Nature</t>
        </is>
      </c>
      <c r="E10" s="83" t="inlineStr">
        <is>
          <t>Montant estimé</t>
        </is>
      </c>
      <c r="F10" s="83" t="inlineStr">
        <is>
          <t>Statut</t>
        </is>
      </c>
      <c r="G10" s="83" t="inlineStr">
        <is>
          <t>Compte à rebours</t>
        </is>
      </c>
      <c r="H10" s="2" t="n"/>
      <c r="I10" s="6" t="inlineStr">
        <is>
          <t>Reste à payer sur l'année</t>
        </is>
      </c>
      <c r="J10" s="13">
        <f>SUMIFS($E$11:$E$43,$B$11:$B$43,"&gt;="&amp;TODAY(),$F$11:$F$43,"&lt;&gt;Payé")</f>
        <v/>
      </c>
      <c r="K10" s="2" t="n"/>
    </row>
    <row r="11">
      <c r="A11" s="2" t="n"/>
      <c r="B11" s="105">
        <f>DATE(ANNEE,1,JOUR_URSSAF*1)</f>
        <v/>
      </c>
      <c r="C11" s="106" t="inlineStr">
        <is>
          <t>URSSAF</t>
        </is>
      </c>
      <c r="D11" s="106" t="inlineStr">
        <is>
          <t>Cotisations sociales — janvier (estimation)</t>
        </is>
      </c>
      <c r="E11" s="85">
        <f>ROUND(SALAIRE_NET*TAUX_CHARGES,2)</f>
        <v/>
      </c>
      <c r="F11" s="69" t="inlineStr">
        <is>
          <t>À venir</t>
        </is>
      </c>
      <c r="G11" s="107">
        <f>IF($B11="","",IF($F11="Payé","✓ Payé",IF($B11&lt;TODAY(),"Passée",IF($B11-TODAY()&lt;7,"⚠️ URGENT — dans "&amp;($B11-TODAY())&amp;" j","dans "&amp;($B11-TODAY())&amp;" j"))))</f>
        <v/>
      </c>
      <c r="H11" s="108">
        <f>IF(AND($B11&lt;&gt;"",$F11&lt;&gt;"Payé",$B11&gt;=TODAY()),$B11,"")</f>
        <v/>
      </c>
      <c r="I11" s="2" t="n"/>
      <c r="J11" s="2" t="n"/>
      <c r="K11" s="2" t="n"/>
    </row>
    <row r="12">
      <c r="A12" s="2" t="n"/>
      <c r="B12" s="109">
        <f>IF(REGIME_TVA="Réel normal",DATE(ANNEE,2,15),"")</f>
        <v/>
      </c>
      <c r="C12" s="110" t="inlineStr">
        <is>
          <t>Impôts (TVA)</t>
        </is>
      </c>
      <c r="D12" s="110" t="inlineStr">
        <is>
          <t>TVA de janvier (estimation)</t>
        </is>
      </c>
      <c r="E12" s="87">
        <f>IF(REGIME_TVA="Réel normal",MAX(0,'🧾 TVA &amp; Impôts'!$E$7),"")</f>
        <v/>
      </c>
      <c r="F12" s="69" t="inlineStr">
        <is>
          <t>À venir</t>
        </is>
      </c>
      <c r="G12" s="46">
        <f>IF($B12="","",IF($F12="Payé","✓ Payé",IF($B12&lt;TODAY(),"Passée",IF($B12-TODAY()&lt;7,"⚠️ URGENT — dans "&amp;($B12-TODAY())&amp;" j","dans "&amp;($B12-TODAY())&amp;" j"))))</f>
        <v/>
      </c>
      <c r="H12" s="108">
        <f>IF(AND($B12&lt;&gt;"",$F12&lt;&gt;"Payé",$B12&gt;=TODAY()),$B12,"")</f>
        <v/>
      </c>
      <c r="I12" s="2" t="n"/>
      <c r="J12" s="2" t="n"/>
      <c r="K12" s="2" t="n"/>
    </row>
    <row r="13">
      <c r="A13" s="2" t="n"/>
      <c r="B13" s="105">
        <f>DATE(ANNEE,2,JOUR_URSSAF*1)</f>
        <v/>
      </c>
      <c r="C13" s="106" t="inlineStr">
        <is>
          <t>URSSAF</t>
        </is>
      </c>
      <c r="D13" s="106" t="inlineStr">
        <is>
          <t>Cotisations sociales — février (estimation)</t>
        </is>
      </c>
      <c r="E13" s="85">
        <f>ROUND(SALAIRE_NET*TAUX_CHARGES,2)</f>
        <v/>
      </c>
      <c r="F13" s="69" t="inlineStr">
        <is>
          <t>À venir</t>
        </is>
      </c>
      <c r="G13" s="107">
        <f>IF($B13="","",IF($F13="Payé","✓ Payé",IF($B13&lt;TODAY(),"Passée",IF($B13-TODAY()&lt;7,"⚠️ URGENT — dans "&amp;($B13-TODAY())&amp;" j","dans "&amp;($B13-TODAY())&amp;" j"))))</f>
        <v/>
      </c>
      <c r="H13" s="108">
        <f>IF(AND($B13&lt;&gt;"",$F13&lt;&gt;"Payé",$B13&gt;=TODAY()),$B13,"")</f>
        <v/>
      </c>
      <c r="I13" s="2" t="n"/>
      <c r="J13" s="2" t="n"/>
      <c r="K13" s="2" t="n"/>
    </row>
    <row r="14">
      <c r="A14" s="2" t="n"/>
      <c r="B14" s="109">
        <f>IF(REGIME_TVA="Réel normal",DATE(ANNEE,3,15),"")</f>
        <v/>
      </c>
      <c r="C14" s="110" t="inlineStr">
        <is>
          <t>Impôts (TVA)</t>
        </is>
      </c>
      <c r="D14" s="110" t="inlineStr">
        <is>
          <t>TVA de février (estimation)</t>
        </is>
      </c>
      <c r="E14" s="87">
        <f>IF(REGIME_TVA="Réel normal",MAX(0,'🧾 TVA &amp; Impôts'!$E$8),"")</f>
        <v/>
      </c>
      <c r="F14" s="69" t="inlineStr">
        <is>
          <t>À venir</t>
        </is>
      </c>
      <c r="G14" s="46">
        <f>IF($B14="","",IF($F14="Payé","✓ Payé",IF($B14&lt;TODAY(),"Passée",IF($B14-TODAY()&lt;7,"⚠️ URGENT — dans "&amp;($B14-TODAY())&amp;" j","dans "&amp;($B14-TODAY())&amp;" j"))))</f>
        <v/>
      </c>
      <c r="H14" s="108">
        <f>IF(AND($B14&lt;&gt;"",$F14&lt;&gt;"Payé",$B14&gt;=TODAY()),$B14,"")</f>
        <v/>
      </c>
      <c r="I14" s="2" t="n"/>
      <c r="J14" s="2" t="n"/>
      <c r="K14" s="2" t="n"/>
    </row>
    <row r="15">
      <c r="A15" s="2" t="n"/>
      <c r="B15" s="105">
        <f>DATE(ANNEE,3,JOUR_URSSAF*1)</f>
        <v/>
      </c>
      <c r="C15" s="106" t="inlineStr">
        <is>
          <t>URSSAF</t>
        </is>
      </c>
      <c r="D15" s="106" t="inlineStr">
        <is>
          <t>Cotisations sociales — mars (estimation)</t>
        </is>
      </c>
      <c r="E15" s="85">
        <f>ROUND(SALAIRE_NET*TAUX_CHARGES,2)</f>
        <v/>
      </c>
      <c r="F15" s="69" t="inlineStr">
        <is>
          <t>À venir</t>
        </is>
      </c>
      <c r="G15" s="107">
        <f>IF($B15="","",IF($F15="Payé","✓ Payé",IF($B15&lt;TODAY(),"Passée",IF($B15-TODAY()&lt;7,"⚠️ URGENT — dans "&amp;($B15-TODAY())&amp;" j","dans "&amp;($B15-TODAY())&amp;" j"))))</f>
        <v/>
      </c>
      <c r="H15" s="108">
        <f>IF(AND($B15&lt;&gt;"",$F15&lt;&gt;"Payé",$B15&gt;=TODAY()),$B15,"")</f>
        <v/>
      </c>
      <c r="I15" s="2" t="n"/>
      <c r="J15" s="2" t="n"/>
      <c r="K15" s="2" t="n"/>
    </row>
    <row r="16">
      <c r="A16" s="2" t="n"/>
      <c r="B16" s="109">
        <f>IF(REGIME_TVA="Réel normal",DATE(ANNEE,4,15),"")</f>
        <v/>
      </c>
      <c r="C16" s="110" t="inlineStr">
        <is>
          <t>Impôts (TVA)</t>
        </is>
      </c>
      <c r="D16" s="110" t="inlineStr">
        <is>
          <t>TVA de mars (estimation)</t>
        </is>
      </c>
      <c r="E16" s="87">
        <f>IF(REGIME_TVA="Réel normal",MAX(0,'🧾 TVA &amp; Impôts'!$E$9),"")</f>
        <v/>
      </c>
      <c r="F16" s="69" t="inlineStr">
        <is>
          <t>À venir</t>
        </is>
      </c>
      <c r="G16" s="46">
        <f>IF($B16="","",IF($F16="Payé","✓ Payé",IF($B16&lt;TODAY(),"Passée",IF($B16-TODAY()&lt;7,"⚠️ URGENT — dans "&amp;($B16-TODAY())&amp;" j","dans "&amp;($B16-TODAY())&amp;" j"))))</f>
        <v/>
      </c>
      <c r="H16" s="108">
        <f>IF(AND($B16&lt;&gt;"",$F16&lt;&gt;"Payé",$B16&gt;=TODAY()),$B16,"")</f>
        <v/>
      </c>
      <c r="I16" s="2" t="n"/>
      <c r="J16" s="2" t="n"/>
      <c r="K16" s="2" t="n"/>
    </row>
    <row r="17">
      <c r="A17" s="2" t="n"/>
      <c r="B17" s="105">
        <f>DATE(ANNEE,4,JOUR_URSSAF*1)</f>
        <v/>
      </c>
      <c r="C17" s="106" t="inlineStr">
        <is>
          <t>URSSAF</t>
        </is>
      </c>
      <c r="D17" s="106" t="inlineStr">
        <is>
          <t>Cotisations sociales — avril (estimation)</t>
        </is>
      </c>
      <c r="E17" s="85">
        <f>ROUND(SALAIRE_NET*TAUX_CHARGES,2)</f>
        <v/>
      </c>
      <c r="F17" s="69" t="inlineStr">
        <is>
          <t>À venir</t>
        </is>
      </c>
      <c r="G17" s="107">
        <f>IF($B17="","",IF($F17="Payé","✓ Payé",IF($B17&lt;TODAY(),"Passée",IF($B17-TODAY()&lt;7,"⚠️ URGENT — dans "&amp;($B17-TODAY())&amp;" j","dans "&amp;($B17-TODAY())&amp;" j"))))</f>
        <v/>
      </c>
      <c r="H17" s="108">
        <f>IF(AND($B17&lt;&gt;"",$F17&lt;&gt;"Payé",$B17&gt;=TODAY()),$B17,"")</f>
        <v/>
      </c>
      <c r="I17" s="2" t="n"/>
      <c r="J17" s="2" t="n"/>
      <c r="K17" s="2" t="n"/>
    </row>
    <row r="18">
      <c r="A18" s="2" t="n"/>
      <c r="B18" s="109">
        <f>IF(REGIME_TVA="Réel normal",DATE(ANNEE,5,15),"")</f>
        <v/>
      </c>
      <c r="C18" s="110" t="inlineStr">
        <is>
          <t>Impôts (TVA)</t>
        </is>
      </c>
      <c r="D18" s="110" t="inlineStr">
        <is>
          <t>TVA de avril (estimation)</t>
        </is>
      </c>
      <c r="E18" s="87">
        <f>IF(REGIME_TVA="Réel normal",MAX(0,'🧾 TVA &amp; Impôts'!$E$10),"")</f>
        <v/>
      </c>
      <c r="F18" s="69" t="inlineStr">
        <is>
          <t>À venir</t>
        </is>
      </c>
      <c r="G18" s="46">
        <f>IF($B18="","",IF($F18="Payé","✓ Payé",IF($B18&lt;TODAY(),"Passée",IF($B18-TODAY()&lt;7,"⚠️ URGENT — dans "&amp;($B18-TODAY())&amp;" j","dans "&amp;($B18-TODAY())&amp;" j"))))</f>
        <v/>
      </c>
      <c r="H18" s="108">
        <f>IF(AND($B18&lt;&gt;"",$F18&lt;&gt;"Payé",$B18&gt;=TODAY()),$B18,"")</f>
        <v/>
      </c>
      <c r="I18" s="2" t="n"/>
      <c r="J18" s="2" t="n"/>
      <c r="K18" s="2" t="n"/>
    </row>
    <row r="19">
      <c r="A19" s="2" t="n"/>
      <c r="B19" s="105">
        <f>DATE(ANNEE,5,JOUR_URSSAF*1)</f>
        <v/>
      </c>
      <c r="C19" s="106" t="inlineStr">
        <is>
          <t>URSSAF</t>
        </is>
      </c>
      <c r="D19" s="106" t="inlineStr">
        <is>
          <t>Cotisations sociales — mai (estimation)</t>
        </is>
      </c>
      <c r="E19" s="85">
        <f>ROUND(SALAIRE_NET*TAUX_CHARGES,2)</f>
        <v/>
      </c>
      <c r="F19" s="69" t="inlineStr">
        <is>
          <t>À venir</t>
        </is>
      </c>
      <c r="G19" s="107">
        <f>IF($B19="","",IF($F19="Payé","✓ Payé",IF($B19&lt;TODAY(),"Passée",IF($B19-TODAY()&lt;7,"⚠️ URGENT — dans "&amp;($B19-TODAY())&amp;" j","dans "&amp;($B19-TODAY())&amp;" j"))))</f>
        <v/>
      </c>
      <c r="H19" s="108">
        <f>IF(AND($B19&lt;&gt;"",$F19&lt;&gt;"Payé",$B19&gt;=TODAY()),$B19,"")</f>
        <v/>
      </c>
      <c r="I19" s="2" t="n"/>
      <c r="J19" s="2" t="n"/>
      <c r="K19" s="2" t="n"/>
    </row>
    <row r="20">
      <c r="A20" s="2" t="n"/>
      <c r="B20" s="109">
        <f>IF(REGIME_TVA="Réel normal",DATE(ANNEE,6,15),"")</f>
        <v/>
      </c>
      <c r="C20" s="110" t="inlineStr">
        <is>
          <t>Impôts (TVA)</t>
        </is>
      </c>
      <c r="D20" s="110" t="inlineStr">
        <is>
          <t>TVA de mai (estimation)</t>
        </is>
      </c>
      <c r="E20" s="87">
        <f>IF(REGIME_TVA="Réel normal",MAX(0,'🧾 TVA &amp; Impôts'!$E$11),"")</f>
        <v/>
      </c>
      <c r="F20" s="69" t="inlineStr">
        <is>
          <t>À venir</t>
        </is>
      </c>
      <c r="G20" s="46">
        <f>IF($B20="","",IF($F20="Payé","✓ Payé",IF($B20&lt;TODAY(),"Passée",IF($B20-TODAY()&lt;7,"⚠️ URGENT — dans "&amp;($B20-TODAY())&amp;" j","dans "&amp;($B20-TODAY())&amp;" j"))))</f>
        <v/>
      </c>
      <c r="H20" s="108">
        <f>IF(AND($B20&lt;&gt;"",$F20&lt;&gt;"Payé",$B20&gt;=TODAY()),$B20,"")</f>
        <v/>
      </c>
      <c r="I20" s="2" t="n"/>
      <c r="J20" s="2" t="n"/>
      <c r="K20" s="2" t="n"/>
    </row>
    <row r="21">
      <c r="A21" s="2" t="n"/>
      <c r="B21" s="105">
        <f>DATE(ANNEE,6,JOUR_URSSAF*1)</f>
        <v/>
      </c>
      <c r="C21" s="106" t="inlineStr">
        <is>
          <t>URSSAF</t>
        </is>
      </c>
      <c r="D21" s="106" t="inlineStr">
        <is>
          <t>Cotisations sociales — juin (estimation)</t>
        </is>
      </c>
      <c r="E21" s="85">
        <f>ROUND(SALAIRE_NET*TAUX_CHARGES,2)</f>
        <v/>
      </c>
      <c r="F21" s="69" t="inlineStr">
        <is>
          <t>À venir</t>
        </is>
      </c>
      <c r="G21" s="107">
        <f>IF($B21="","",IF($F21="Payé","✓ Payé",IF($B21&lt;TODAY(),"Passée",IF($B21-TODAY()&lt;7,"⚠️ URGENT — dans "&amp;($B21-TODAY())&amp;" j","dans "&amp;($B21-TODAY())&amp;" j"))))</f>
        <v/>
      </c>
      <c r="H21" s="108">
        <f>IF(AND($B21&lt;&gt;"",$F21&lt;&gt;"Payé",$B21&gt;=TODAY()),$B21,"")</f>
        <v/>
      </c>
      <c r="I21" s="2" t="n"/>
      <c r="J21" s="2" t="n"/>
      <c r="K21" s="2" t="n"/>
    </row>
    <row r="22">
      <c r="A22" s="2" t="n"/>
      <c r="B22" s="109">
        <f>IF(REGIME_TVA="Réel normal",DATE(ANNEE,7,15),"")</f>
        <v/>
      </c>
      <c r="C22" s="110" t="inlineStr">
        <is>
          <t>Impôts (TVA)</t>
        </is>
      </c>
      <c r="D22" s="110" t="inlineStr">
        <is>
          <t>TVA de juin (estimation)</t>
        </is>
      </c>
      <c r="E22" s="87">
        <f>IF(REGIME_TVA="Réel normal",MAX(0,'🧾 TVA &amp; Impôts'!$E$12),"")</f>
        <v/>
      </c>
      <c r="F22" s="69" t="inlineStr">
        <is>
          <t>À venir</t>
        </is>
      </c>
      <c r="G22" s="46">
        <f>IF($B22="","",IF($F22="Payé","✓ Payé",IF($B22&lt;TODAY(),"Passée",IF($B22-TODAY()&lt;7,"⚠️ URGENT — dans "&amp;($B22-TODAY())&amp;" j","dans "&amp;($B22-TODAY())&amp;" j"))))</f>
        <v/>
      </c>
      <c r="H22" s="108">
        <f>IF(AND($B22&lt;&gt;"",$F22&lt;&gt;"Payé",$B22&gt;=TODAY()),$B22,"")</f>
        <v/>
      </c>
      <c r="I22" s="2" t="n"/>
      <c r="J22" s="2" t="n"/>
      <c r="K22" s="2" t="n"/>
    </row>
    <row r="23">
      <c r="A23" s="2" t="n"/>
      <c r="B23" s="105">
        <f>DATE(ANNEE,7,JOUR_URSSAF*1)</f>
        <v/>
      </c>
      <c r="C23" s="106" t="inlineStr">
        <is>
          <t>URSSAF</t>
        </is>
      </c>
      <c r="D23" s="106" t="inlineStr">
        <is>
          <t>Cotisations sociales — juillet (estimation)</t>
        </is>
      </c>
      <c r="E23" s="85">
        <f>ROUND(SALAIRE_NET*TAUX_CHARGES,2)</f>
        <v/>
      </c>
      <c r="F23" s="69" t="inlineStr">
        <is>
          <t>À venir</t>
        </is>
      </c>
      <c r="G23" s="107">
        <f>IF($B23="","",IF($F23="Payé","✓ Payé",IF($B23&lt;TODAY(),"Passée",IF($B23-TODAY()&lt;7,"⚠️ URGENT — dans "&amp;($B23-TODAY())&amp;" j","dans "&amp;($B23-TODAY())&amp;" j"))))</f>
        <v/>
      </c>
      <c r="H23" s="108">
        <f>IF(AND($B23&lt;&gt;"",$F23&lt;&gt;"Payé",$B23&gt;=TODAY()),$B23,"")</f>
        <v/>
      </c>
      <c r="I23" s="2" t="n"/>
      <c r="J23" s="2" t="n"/>
      <c r="K23" s="2" t="n"/>
    </row>
    <row r="24">
      <c r="A24" s="2" t="n"/>
      <c r="B24" s="109">
        <f>IF(REGIME_TVA="Réel normal",DATE(ANNEE,8,15),"")</f>
        <v/>
      </c>
      <c r="C24" s="110" t="inlineStr">
        <is>
          <t>Impôts (TVA)</t>
        </is>
      </c>
      <c r="D24" s="110" t="inlineStr">
        <is>
          <t>TVA de juillet (estimation)</t>
        </is>
      </c>
      <c r="E24" s="87">
        <f>IF(REGIME_TVA="Réel normal",MAX(0,'🧾 TVA &amp; Impôts'!$E$13),"")</f>
        <v/>
      </c>
      <c r="F24" s="69" t="inlineStr">
        <is>
          <t>À venir</t>
        </is>
      </c>
      <c r="G24" s="46">
        <f>IF($B24="","",IF($F24="Payé","✓ Payé",IF($B24&lt;TODAY(),"Passée",IF($B24-TODAY()&lt;7,"⚠️ URGENT — dans "&amp;($B24-TODAY())&amp;" j","dans "&amp;($B24-TODAY())&amp;" j"))))</f>
        <v/>
      </c>
      <c r="H24" s="108">
        <f>IF(AND($B24&lt;&gt;"",$F24&lt;&gt;"Payé",$B24&gt;=TODAY()),$B24,"")</f>
        <v/>
      </c>
      <c r="I24" s="2" t="n"/>
      <c r="J24" s="2" t="n"/>
      <c r="K24" s="2" t="n"/>
    </row>
    <row r="25">
      <c r="A25" s="2" t="n"/>
      <c r="B25" s="105">
        <f>DATE(ANNEE,8,JOUR_URSSAF*1)</f>
        <v/>
      </c>
      <c r="C25" s="106" t="inlineStr">
        <is>
          <t>URSSAF</t>
        </is>
      </c>
      <c r="D25" s="106" t="inlineStr">
        <is>
          <t>Cotisations sociales — août (estimation)</t>
        </is>
      </c>
      <c r="E25" s="85">
        <f>ROUND(SALAIRE_NET*TAUX_CHARGES,2)</f>
        <v/>
      </c>
      <c r="F25" s="69" t="inlineStr">
        <is>
          <t>À venir</t>
        </is>
      </c>
      <c r="G25" s="107">
        <f>IF($B25="","",IF($F25="Payé","✓ Payé",IF($B25&lt;TODAY(),"Passée",IF($B25-TODAY()&lt;7,"⚠️ URGENT — dans "&amp;($B25-TODAY())&amp;" j","dans "&amp;($B25-TODAY())&amp;" j"))))</f>
        <v/>
      </c>
      <c r="H25" s="108">
        <f>IF(AND($B25&lt;&gt;"",$F25&lt;&gt;"Payé",$B25&gt;=TODAY()),$B25,"")</f>
        <v/>
      </c>
      <c r="I25" s="2" t="n"/>
      <c r="J25" s="2" t="n"/>
      <c r="K25" s="2" t="n"/>
    </row>
    <row r="26">
      <c r="A26" s="2" t="n"/>
      <c r="B26" s="109">
        <f>IF(REGIME_TVA="Réel normal",DATE(ANNEE,9,15),"")</f>
        <v/>
      </c>
      <c r="C26" s="110" t="inlineStr">
        <is>
          <t>Impôts (TVA)</t>
        </is>
      </c>
      <c r="D26" s="110" t="inlineStr">
        <is>
          <t>TVA de août (estimation)</t>
        </is>
      </c>
      <c r="E26" s="87">
        <f>IF(REGIME_TVA="Réel normal",MAX(0,'🧾 TVA &amp; Impôts'!$E$14),"")</f>
        <v/>
      </c>
      <c r="F26" s="69" t="inlineStr">
        <is>
          <t>À venir</t>
        </is>
      </c>
      <c r="G26" s="46">
        <f>IF($B26="","",IF($F26="Payé","✓ Payé",IF($B26&lt;TODAY(),"Passée",IF($B26-TODAY()&lt;7,"⚠️ URGENT — dans "&amp;($B26-TODAY())&amp;" j","dans "&amp;($B26-TODAY())&amp;" j"))))</f>
        <v/>
      </c>
      <c r="H26" s="108">
        <f>IF(AND($B26&lt;&gt;"",$F26&lt;&gt;"Payé",$B26&gt;=TODAY()),$B26,"")</f>
        <v/>
      </c>
      <c r="I26" s="2" t="n"/>
      <c r="J26" s="2" t="n"/>
      <c r="K26" s="2" t="n"/>
    </row>
    <row r="27">
      <c r="A27" s="2" t="n"/>
      <c r="B27" s="105">
        <f>DATE(ANNEE,9,JOUR_URSSAF*1)</f>
        <v/>
      </c>
      <c r="C27" s="106" t="inlineStr">
        <is>
          <t>URSSAF</t>
        </is>
      </c>
      <c r="D27" s="106" t="inlineStr">
        <is>
          <t>Cotisations sociales — septembre (estimation)</t>
        </is>
      </c>
      <c r="E27" s="85">
        <f>ROUND(SALAIRE_NET*TAUX_CHARGES,2)</f>
        <v/>
      </c>
      <c r="F27" s="69" t="inlineStr">
        <is>
          <t>À venir</t>
        </is>
      </c>
      <c r="G27" s="107">
        <f>IF($B27="","",IF($F27="Payé","✓ Payé",IF($B27&lt;TODAY(),"Passée",IF($B27-TODAY()&lt;7,"⚠️ URGENT — dans "&amp;($B27-TODAY())&amp;" j","dans "&amp;($B27-TODAY())&amp;" j"))))</f>
        <v/>
      </c>
      <c r="H27" s="108">
        <f>IF(AND($B27&lt;&gt;"",$F27&lt;&gt;"Payé",$B27&gt;=TODAY()),$B27,"")</f>
        <v/>
      </c>
      <c r="I27" s="2" t="n"/>
      <c r="J27" s="2" t="n"/>
      <c r="K27" s="2" t="n"/>
    </row>
    <row r="28">
      <c r="A28" s="2" t="n"/>
      <c r="B28" s="109">
        <f>IF(REGIME_TVA="Réel normal",DATE(ANNEE,10,15),"")</f>
        <v/>
      </c>
      <c r="C28" s="110" t="inlineStr">
        <is>
          <t>Impôts (TVA)</t>
        </is>
      </c>
      <c r="D28" s="110" t="inlineStr">
        <is>
          <t>TVA de septembre (estimation)</t>
        </is>
      </c>
      <c r="E28" s="87">
        <f>IF(REGIME_TVA="Réel normal",MAX(0,'🧾 TVA &amp; Impôts'!$E$15),"")</f>
        <v/>
      </c>
      <c r="F28" s="69" t="inlineStr">
        <is>
          <t>À venir</t>
        </is>
      </c>
      <c r="G28" s="46">
        <f>IF($B28="","",IF($F28="Payé","✓ Payé",IF($B28&lt;TODAY(),"Passée",IF($B28-TODAY()&lt;7,"⚠️ URGENT — dans "&amp;($B28-TODAY())&amp;" j","dans "&amp;($B28-TODAY())&amp;" j"))))</f>
        <v/>
      </c>
      <c r="H28" s="108">
        <f>IF(AND($B28&lt;&gt;"",$F28&lt;&gt;"Payé",$B28&gt;=TODAY()),$B28,"")</f>
        <v/>
      </c>
      <c r="I28" s="2" t="n"/>
      <c r="J28" s="2" t="n"/>
      <c r="K28" s="2" t="n"/>
    </row>
    <row r="29">
      <c r="A29" s="2" t="n"/>
      <c r="B29" s="105">
        <f>DATE(ANNEE,10,JOUR_URSSAF*1)</f>
        <v/>
      </c>
      <c r="C29" s="106" t="inlineStr">
        <is>
          <t>URSSAF</t>
        </is>
      </c>
      <c r="D29" s="106" t="inlineStr">
        <is>
          <t>Cotisations sociales — octobre (estimation)</t>
        </is>
      </c>
      <c r="E29" s="85">
        <f>ROUND(SALAIRE_NET*TAUX_CHARGES,2)</f>
        <v/>
      </c>
      <c r="F29" s="69" t="inlineStr">
        <is>
          <t>À venir</t>
        </is>
      </c>
      <c r="G29" s="107">
        <f>IF($B29="","",IF($F29="Payé","✓ Payé",IF($B29&lt;TODAY(),"Passée",IF($B29-TODAY()&lt;7,"⚠️ URGENT — dans "&amp;($B29-TODAY())&amp;" j","dans "&amp;($B29-TODAY())&amp;" j"))))</f>
        <v/>
      </c>
      <c r="H29" s="108">
        <f>IF(AND($B29&lt;&gt;"",$F29&lt;&gt;"Payé",$B29&gt;=TODAY()),$B29,"")</f>
        <v/>
      </c>
      <c r="I29" s="2" t="n"/>
      <c r="J29" s="2" t="n"/>
      <c r="K29" s="2" t="n"/>
    </row>
    <row r="30">
      <c r="A30" s="2" t="n"/>
      <c r="B30" s="109">
        <f>IF(REGIME_TVA="Réel normal",DATE(ANNEE,11,15),"")</f>
        <v/>
      </c>
      <c r="C30" s="110" t="inlineStr">
        <is>
          <t>Impôts (TVA)</t>
        </is>
      </c>
      <c r="D30" s="110" t="inlineStr">
        <is>
          <t>TVA de octobre (estimation)</t>
        </is>
      </c>
      <c r="E30" s="87">
        <f>IF(REGIME_TVA="Réel normal",MAX(0,'🧾 TVA &amp; Impôts'!$E$16),"")</f>
        <v/>
      </c>
      <c r="F30" s="69" t="inlineStr">
        <is>
          <t>À venir</t>
        </is>
      </c>
      <c r="G30" s="46">
        <f>IF($B30="","",IF($F30="Payé","✓ Payé",IF($B30&lt;TODAY(),"Passée",IF($B30-TODAY()&lt;7,"⚠️ URGENT — dans "&amp;($B30-TODAY())&amp;" j","dans "&amp;($B30-TODAY())&amp;" j"))))</f>
        <v/>
      </c>
      <c r="H30" s="108">
        <f>IF(AND($B30&lt;&gt;"",$F30&lt;&gt;"Payé",$B30&gt;=TODAY()),$B30,"")</f>
        <v/>
      </c>
      <c r="I30" s="2" t="n"/>
      <c r="J30" s="2" t="n"/>
      <c r="K30" s="2" t="n"/>
    </row>
    <row r="31">
      <c r="A31" s="2" t="n"/>
      <c r="B31" s="105">
        <f>DATE(ANNEE,11,JOUR_URSSAF*1)</f>
        <v/>
      </c>
      <c r="C31" s="106" t="inlineStr">
        <is>
          <t>URSSAF</t>
        </is>
      </c>
      <c r="D31" s="106" t="inlineStr">
        <is>
          <t>Cotisations sociales — novembre (estimation)</t>
        </is>
      </c>
      <c r="E31" s="85">
        <f>ROUND(SALAIRE_NET*TAUX_CHARGES,2)</f>
        <v/>
      </c>
      <c r="F31" s="69" t="inlineStr">
        <is>
          <t>À venir</t>
        </is>
      </c>
      <c r="G31" s="107">
        <f>IF($B31="","",IF($F31="Payé","✓ Payé",IF($B31&lt;TODAY(),"Passée",IF($B31-TODAY()&lt;7,"⚠️ URGENT — dans "&amp;($B31-TODAY())&amp;" j","dans "&amp;($B31-TODAY())&amp;" j"))))</f>
        <v/>
      </c>
      <c r="H31" s="108">
        <f>IF(AND($B31&lt;&gt;"",$F31&lt;&gt;"Payé",$B31&gt;=TODAY()),$B31,"")</f>
        <v/>
      </c>
      <c r="I31" s="2" t="n"/>
      <c r="J31" s="2" t="n"/>
      <c r="K31" s="2" t="n"/>
    </row>
    <row r="32">
      <c r="A32" s="2" t="n"/>
      <c r="B32" s="109">
        <f>IF(REGIME_TVA="Réel normal",DATE(ANNEE,12,15),"")</f>
        <v/>
      </c>
      <c r="C32" s="110" t="inlineStr">
        <is>
          <t>Impôts (TVA)</t>
        </is>
      </c>
      <c r="D32" s="110" t="inlineStr">
        <is>
          <t>TVA de novembre (estimation)</t>
        </is>
      </c>
      <c r="E32" s="87">
        <f>IF(REGIME_TVA="Réel normal",MAX(0,'🧾 TVA &amp; Impôts'!$E$17),"")</f>
        <v/>
      </c>
      <c r="F32" s="69" t="inlineStr">
        <is>
          <t>À venir</t>
        </is>
      </c>
      <c r="G32" s="46">
        <f>IF($B32="","",IF($F32="Payé","✓ Payé",IF($B32&lt;TODAY(),"Passée",IF($B32-TODAY()&lt;7,"⚠️ URGENT — dans "&amp;($B32-TODAY())&amp;" j","dans "&amp;($B32-TODAY())&amp;" j"))))</f>
        <v/>
      </c>
      <c r="H32" s="108">
        <f>IF(AND($B32&lt;&gt;"",$F32&lt;&gt;"Payé",$B32&gt;=TODAY()),$B32,"")</f>
        <v/>
      </c>
      <c r="I32" s="2" t="n"/>
      <c r="J32" s="2" t="n"/>
      <c r="K32" s="2" t="n"/>
    </row>
    <row r="33">
      <c r="A33" s="2" t="n"/>
      <c r="B33" s="105">
        <f>DATE(ANNEE,12,JOUR_URSSAF*1)</f>
        <v/>
      </c>
      <c r="C33" s="106" t="inlineStr">
        <is>
          <t>URSSAF</t>
        </is>
      </c>
      <c r="D33" s="106" t="inlineStr">
        <is>
          <t>Cotisations sociales — décembre (estimation)</t>
        </is>
      </c>
      <c r="E33" s="85">
        <f>ROUND(SALAIRE_NET*TAUX_CHARGES,2)</f>
        <v/>
      </c>
      <c r="F33" s="69" t="inlineStr">
        <is>
          <t>À venir</t>
        </is>
      </c>
      <c r="G33" s="107">
        <f>IF($B33="","",IF($F33="Payé","✓ Payé",IF($B33&lt;TODAY(),"Passée",IF($B33-TODAY()&lt;7,"⚠️ URGENT — dans "&amp;($B33-TODAY())&amp;" j","dans "&amp;($B33-TODAY())&amp;" j"))))</f>
        <v/>
      </c>
      <c r="H33" s="108">
        <f>IF(AND($B33&lt;&gt;"",$F33&lt;&gt;"Payé",$B33&gt;=TODAY()),$B33,"")</f>
        <v/>
      </c>
      <c r="I33" s="2" t="n"/>
      <c r="J33" s="2" t="n"/>
      <c r="K33" s="2" t="n"/>
    </row>
    <row r="34">
      <c r="A34" s="2" t="n"/>
      <c r="B34" s="109">
        <f>IF(REGIME_TVA="Réel normal",DATE(ANNEE+1,1,15),"")</f>
        <v/>
      </c>
      <c r="C34" s="110" t="inlineStr">
        <is>
          <t>Impôts (TVA)</t>
        </is>
      </c>
      <c r="D34" s="110" t="inlineStr">
        <is>
          <t>TVA de décembre (estimation)</t>
        </is>
      </c>
      <c r="E34" s="87">
        <f>IF(REGIME_TVA="Réel normal",MAX(0,'🧾 TVA &amp; Impôts'!$E$18),"")</f>
        <v/>
      </c>
      <c r="F34" s="69" t="inlineStr">
        <is>
          <t>À venir</t>
        </is>
      </c>
      <c r="G34" s="46">
        <f>IF($B34="","",IF($F34="Payé","✓ Payé",IF($B34&lt;TODAY(),"Passée",IF($B34-TODAY()&lt;7,"⚠️ URGENT — dans "&amp;($B34-TODAY())&amp;" j","dans "&amp;($B34-TODAY())&amp;" j"))))</f>
        <v/>
      </c>
      <c r="H34" s="108">
        <f>IF(AND($B34&lt;&gt;"",$F34&lt;&gt;"Payé",$B34&gt;=TODAY()),$B34,"")</f>
        <v/>
      </c>
      <c r="I34" s="2" t="n"/>
      <c r="J34" s="2" t="n"/>
      <c r="K34" s="2" t="n"/>
    </row>
    <row r="35">
      <c r="A35" s="2" t="n"/>
      <c r="B35" s="105">
        <f>IF(REGIME_TVA="Réel simplifié",DATE(ANNEE,7,15),"")</f>
        <v/>
      </c>
      <c r="C35" s="106" t="inlineStr">
        <is>
          <t>Impôts (TVA)</t>
        </is>
      </c>
      <c r="D35" s="106" t="inlineStr">
        <is>
          <t>Acompte de TVA de juillet — réel simplifié (estimation)</t>
        </is>
      </c>
      <c r="E35" s="85">
        <f>IF(REGIME_TVA="Réel simplifié",MAX(0,ROUND('🧾 TVA &amp; Impôts'!$E$19*TVA_AC_JUIL,2)),"")</f>
        <v/>
      </c>
      <c r="F35" s="69" t="inlineStr">
        <is>
          <t>À venir</t>
        </is>
      </c>
      <c r="G35" s="107">
        <f>IF($B35="","",IF($F35="Payé","✓ Payé",IF($B35&lt;TODAY(),"Passée",IF($B35-TODAY()&lt;7,"⚠️ URGENT — dans "&amp;($B35-TODAY())&amp;" j","dans "&amp;($B35-TODAY())&amp;" j"))))</f>
        <v/>
      </c>
      <c r="H35" s="108">
        <f>IF(AND($B35&lt;&gt;"",$F35&lt;&gt;"Payé",$B35&gt;=TODAY()),$B35,"")</f>
        <v/>
      </c>
      <c r="I35" s="2" t="n"/>
      <c r="J35" s="2" t="n"/>
      <c r="K35" s="2" t="n"/>
    </row>
    <row r="36">
      <c r="A36" s="2" t="n"/>
      <c r="B36" s="109">
        <f>IF(REGIME_TVA="Réel simplifié",DATE(ANNEE,12,15),"")</f>
        <v/>
      </c>
      <c r="C36" s="110" t="inlineStr">
        <is>
          <t>Impôts (TVA)</t>
        </is>
      </c>
      <c r="D36" s="110" t="inlineStr">
        <is>
          <t>Acompte de TVA de décembre — réel simplifié (estimation)</t>
        </is>
      </c>
      <c r="E36" s="87">
        <f>IF(REGIME_TVA="Réel simplifié",MAX(0,ROUND('🧾 TVA &amp; Impôts'!$E$19*TVA_AC_DEC,2)),"")</f>
        <v/>
      </c>
      <c r="F36" s="69" t="inlineStr">
        <is>
          <t>À venir</t>
        </is>
      </c>
      <c r="G36" s="46">
        <f>IF($B36="","",IF($F36="Payé","✓ Payé",IF($B36&lt;TODAY(),"Passée",IF($B36-TODAY()&lt;7,"⚠️ URGENT — dans "&amp;($B36-TODAY())&amp;" j","dans "&amp;($B36-TODAY())&amp;" j"))))</f>
        <v/>
      </c>
      <c r="H36" s="108">
        <f>IF(AND($B36&lt;&gt;"",$F36&lt;&gt;"Payé",$B36&gt;=TODAY()),$B36,"")</f>
        <v/>
      </c>
      <c r="I36" s="2" t="n"/>
      <c r="J36" s="2" t="n"/>
      <c r="K36" s="2" t="n"/>
    </row>
    <row r="37">
      <c r="A37" s="2" t="n"/>
      <c r="B37" s="105">
        <f>IF(REGIME_TVA="Réel simplifié",DATE(ANNEE+1,5,3),"")</f>
        <v/>
      </c>
      <c r="C37" s="106" t="inlineStr">
        <is>
          <t>Impôts (TVA)</t>
        </is>
      </c>
      <c r="D37" s="106" t="inlineStr">
        <is>
          <t>Solde de TVA (déclaration CA12) — mai N+1 (estimation)</t>
        </is>
      </c>
      <c r="E37" s="85">
        <f>IF(REGIME_TVA="Réel simplifié",MAX(0,ROUND('🧾 TVA &amp; Impôts'!$E$19*(1-TVA_AC_JUIL-TVA_AC_DEC),2)),"")</f>
        <v/>
      </c>
      <c r="F37" s="69" t="inlineStr">
        <is>
          <t>À venir</t>
        </is>
      </c>
      <c r="G37" s="107">
        <f>IF($B37="","",IF($F37="Payé","✓ Payé",IF($B37&lt;TODAY(),"Passée",IF($B37-TODAY()&lt;7,"⚠️ URGENT — dans "&amp;($B37-TODAY())&amp;" j","dans "&amp;($B37-TODAY())&amp;" j"))))</f>
        <v/>
      </c>
      <c r="H37" s="108">
        <f>IF(AND($B37&lt;&gt;"",$F37&lt;&gt;"Payé",$B37&gt;=TODAY()),$B37,"")</f>
        <v/>
      </c>
      <c r="I37" s="2" t="n"/>
      <c r="J37" s="2" t="n"/>
      <c r="K37" s="2" t="n"/>
    </row>
    <row r="38">
      <c r="A38" s="2" t="n"/>
      <c r="B38" s="109">
        <f>DATE(ANNEE,3,15)</f>
        <v/>
      </c>
      <c r="C38" s="110" t="inlineStr">
        <is>
          <t>Impôts (IS)</t>
        </is>
      </c>
      <c r="D38" s="110" t="inlineStr">
        <is>
          <t>1er acompte d'IS (estimation)</t>
        </is>
      </c>
      <c r="E38" s="87">
        <f>'🧾 TVA &amp; Impôts'!$C$31</f>
        <v/>
      </c>
      <c r="F38" s="69" t="inlineStr">
        <is>
          <t>À venir</t>
        </is>
      </c>
      <c r="G38" s="46">
        <f>IF($B38="","",IF($F38="Payé","✓ Payé",IF($B38&lt;TODAY(),"Passée",IF($B38-TODAY()&lt;7,"⚠️ URGENT — dans "&amp;($B38-TODAY())&amp;" j","dans "&amp;($B38-TODAY())&amp;" j"))))</f>
        <v/>
      </c>
      <c r="H38" s="108">
        <f>IF(AND($B38&lt;&gt;"",$F38&lt;&gt;"Payé",$B38&gt;=TODAY()),$B38,"")</f>
        <v/>
      </c>
      <c r="I38" s="2" t="n"/>
      <c r="J38" s="2" t="n"/>
      <c r="K38" s="2" t="n"/>
    </row>
    <row r="39">
      <c r="A39" s="2" t="n"/>
      <c r="B39" s="105">
        <f>DATE(ANNEE,6,15)</f>
        <v/>
      </c>
      <c r="C39" s="106" t="inlineStr">
        <is>
          <t>Impôts (IS)</t>
        </is>
      </c>
      <c r="D39" s="106" t="inlineStr">
        <is>
          <t>2e acompte d'IS (estimation)</t>
        </is>
      </c>
      <c r="E39" s="85">
        <f>'🧾 TVA &amp; Impôts'!$C$31</f>
        <v/>
      </c>
      <c r="F39" s="69" t="inlineStr">
        <is>
          <t>À venir</t>
        </is>
      </c>
      <c r="G39" s="107">
        <f>IF($B39="","",IF($F39="Payé","✓ Payé",IF($B39&lt;TODAY(),"Passée",IF($B39-TODAY()&lt;7,"⚠️ URGENT — dans "&amp;($B39-TODAY())&amp;" j","dans "&amp;($B39-TODAY())&amp;" j"))))</f>
        <v/>
      </c>
      <c r="H39" s="108">
        <f>IF(AND($B39&lt;&gt;"",$F39&lt;&gt;"Payé",$B39&gt;=TODAY()),$B39,"")</f>
        <v/>
      </c>
      <c r="I39" s="2" t="n"/>
      <c r="J39" s="2" t="n"/>
      <c r="K39" s="2" t="n"/>
    </row>
    <row r="40">
      <c r="A40" s="2" t="n"/>
      <c r="B40" s="109">
        <f>DATE(ANNEE,9,15)</f>
        <v/>
      </c>
      <c r="C40" s="110" t="inlineStr">
        <is>
          <t>Impôts (IS)</t>
        </is>
      </c>
      <c r="D40" s="110" t="inlineStr">
        <is>
          <t>3e acompte d'IS (estimation)</t>
        </is>
      </c>
      <c r="E40" s="87">
        <f>'🧾 TVA &amp; Impôts'!$C$31</f>
        <v/>
      </c>
      <c r="F40" s="69" t="inlineStr">
        <is>
          <t>À venir</t>
        </is>
      </c>
      <c r="G40" s="46">
        <f>IF($B40="","",IF($F40="Payé","✓ Payé",IF($B40&lt;TODAY(),"Passée",IF($B40-TODAY()&lt;7,"⚠️ URGENT — dans "&amp;($B40-TODAY())&amp;" j","dans "&amp;($B40-TODAY())&amp;" j"))))</f>
        <v/>
      </c>
      <c r="H40" s="108">
        <f>IF(AND($B40&lt;&gt;"",$F40&lt;&gt;"Payé",$B40&gt;=TODAY()),$B40,"")</f>
        <v/>
      </c>
      <c r="I40" s="2" t="n"/>
      <c r="J40" s="2" t="n"/>
      <c r="K40" s="2" t="n"/>
    </row>
    <row r="41">
      <c r="A41" s="2" t="n"/>
      <c r="B41" s="105">
        <f>DATE(ANNEE,12,15)</f>
        <v/>
      </c>
      <c r="C41" s="106" t="inlineStr">
        <is>
          <t>Impôts (IS)</t>
        </is>
      </c>
      <c r="D41" s="106" t="inlineStr">
        <is>
          <t>4e acompte d'IS (estimation)</t>
        </is>
      </c>
      <c r="E41" s="85">
        <f>'🧾 TVA &amp; Impôts'!$C$31</f>
        <v/>
      </c>
      <c r="F41" s="69" t="inlineStr">
        <is>
          <t>À venir</t>
        </is>
      </c>
      <c r="G41" s="107">
        <f>IF($B41="","",IF($F41="Payé","✓ Payé",IF($B41&lt;TODAY(),"Passée",IF($B41-TODAY()&lt;7,"⚠️ URGENT — dans "&amp;($B41-TODAY())&amp;" j","dans "&amp;($B41-TODAY())&amp;" j"))))</f>
        <v/>
      </c>
      <c r="H41" s="108">
        <f>IF(AND($B41&lt;&gt;"",$F41&lt;&gt;"Payé",$B41&gt;=TODAY()),$B41,"")</f>
        <v/>
      </c>
      <c r="I41" s="2" t="n"/>
      <c r="J41" s="2" t="n"/>
      <c r="K41" s="2" t="n"/>
    </row>
    <row r="42">
      <c r="A42" s="2" t="n"/>
      <c r="B42" s="109">
        <f>DATE(ANNEE+1,5,15)</f>
        <v/>
      </c>
      <c r="C42" s="110" t="inlineStr">
        <is>
          <t>Impôts (IS)</t>
        </is>
      </c>
      <c r="D42" s="110" t="inlineStr">
        <is>
          <t>Solde d'IS — mai N+1 (estimation)</t>
        </is>
      </c>
      <c r="E42" s="87">
        <f>MAX(0,'🧾 TVA &amp; Impôts'!$C$30-4*'🧾 TVA &amp; Impôts'!$C$31)</f>
        <v/>
      </c>
      <c r="F42" s="69" t="inlineStr">
        <is>
          <t>À venir</t>
        </is>
      </c>
      <c r="G42" s="46">
        <f>IF($B42="","",IF($F42="Payé","✓ Payé",IF($B42&lt;TODAY(),"Passée",IF($B42-TODAY()&lt;7,"⚠️ URGENT — dans "&amp;($B42-TODAY())&amp;" j","dans "&amp;($B42-TODAY())&amp;" j"))))</f>
        <v/>
      </c>
      <c r="H42" s="108">
        <f>IF(AND($B42&lt;&gt;"",$F42&lt;&gt;"Payé",$B42&gt;=TODAY()),$B42,"")</f>
        <v/>
      </c>
      <c r="I42" s="2" t="n"/>
      <c r="J42" s="2" t="n"/>
      <c r="K42" s="2" t="n"/>
    </row>
    <row r="43">
      <c r="A43" s="2" t="n"/>
      <c r="B43" s="105">
        <f>DATE(ANNEE,12,15)</f>
        <v/>
      </c>
      <c r="C43" s="106" t="inlineStr">
        <is>
          <t>Impôts (CFE)</t>
        </is>
      </c>
      <c r="D43" s="106" t="inlineStr">
        <is>
          <t>CFE annuelle (estimation)</t>
        </is>
      </c>
      <c r="E43" s="85">
        <f>CFE_ANNUELLE</f>
        <v/>
      </c>
      <c r="F43" s="69" t="inlineStr">
        <is>
          <t>À venir</t>
        </is>
      </c>
      <c r="G43" s="107">
        <f>IF($B43="","",IF($F43="Payé","✓ Payé",IF($B43&lt;TODAY(),"Passée",IF($B43-TODAY()&lt;7,"⚠️ URGENT — dans "&amp;($B43-TODAY())&amp;" j","dans "&amp;($B43-TODAY())&amp;" j"))))</f>
        <v/>
      </c>
      <c r="H43" s="108">
        <f>IF(AND($B43&lt;&gt;"",$F43&lt;&gt;"Payé",$B43&gt;=TODAY()),$B43,"")</f>
        <v/>
      </c>
      <c r="I43" s="2" t="n"/>
      <c r="J43" s="2" t="n"/>
      <c r="K43" s="2" t="n"/>
    </row>
    <row r="44">
      <c r="A44" s="2" t="n"/>
      <c r="B44" s="2" t="n"/>
      <c r="C44" s="2" t="n"/>
      <c r="D44" s="2" t="n"/>
      <c r="E44" s="2" t="n"/>
      <c r="F44" s="2" t="n"/>
      <c r="G44" s="2" t="n"/>
      <c r="H44" s="2" t="n"/>
      <c r="I44" s="2" t="n"/>
      <c r="J44" s="2" t="n"/>
      <c r="K44" s="2" t="n"/>
    </row>
    <row r="45">
      <c r="A45" s="2" t="n"/>
      <c r="B45" s="74" t="inlineStr">
        <is>
          <t>Dates usuelles données à titre indicatif — vérifiez vos dates exactes sur votre espace impots.gouv.fr et urssaf.fr.</t>
        </is>
      </c>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sheetData>
  <mergeCells count="14">
    <mergeCell ref="D6:E6"/>
    <mergeCell ref="A1:J1"/>
    <mergeCell ref="B6:C6"/>
    <mergeCell ref="B3:J3"/>
    <mergeCell ref="I4:J4"/>
    <mergeCell ref="D7:E7"/>
    <mergeCell ref="B7:C7"/>
    <mergeCell ref="B45:J45"/>
    <mergeCell ref="B5:C5"/>
    <mergeCell ref="F5:G5"/>
    <mergeCell ref="D5:E5"/>
    <mergeCell ref="F6:G6"/>
    <mergeCell ref="A2:J2"/>
    <mergeCell ref="F7:G7"/>
  </mergeCells>
  <conditionalFormatting sqref="G11:G43">
    <cfRule type="expression" priority="1" dxfId="2">
      <formula>AND($B11&lt;&gt;"",$F11&lt;&gt;"Payé",$B11&gt;=TODAY(),$B11-TODAY()&lt;15)</formula>
    </cfRule>
  </conditionalFormatting>
  <dataValidations count="1">
    <dataValidation sqref="F11 F12 F13 F14 F15 F16 F17 F18 F19 F20 F21 F22 F23 F24 F25 F26 F27 F28 F29 F30 F31 F32 F33 F34 F35 F36 F37 F38 F39 F40 F41 F42 F43" showDropDown="0" showInputMessage="0" showErrorMessage="0" allowBlank="1" type="list">
      <formula1>"À venir,Payé"</formula1>
    </dataValidation>
  </dataValidations>
  <pageMargins left="0.75" right="0.75" top="1" bottom="1" header="0.5" footer="0.5"/>
</worksheet>
</file>

<file path=xl/worksheets/sheet11.xml><?xml version="1.0" encoding="utf-8"?>
<worksheet xmlns="http://schemas.openxmlformats.org/spreadsheetml/2006/main">
  <sheetPr>
    <tabColor rgb="008B7D6B"/>
    <outlinePr summaryBelow="1" summaryRight="1"/>
    <pageSetUpPr/>
  </sheetPr>
  <dimension ref="A1:F46"/>
  <sheetViews>
    <sheetView showGridLines="0" workbookViewId="0">
      <selection activeCell="A1" sqref="A1"/>
    </sheetView>
  </sheetViews>
  <sheetFormatPr baseColWidth="8" defaultRowHeight="15"/>
  <cols>
    <col width="2.5" customWidth="1" min="1" max="1"/>
    <col width="48" customWidth="1" min="2" max="2"/>
    <col width="18" customWidth="1" min="3" max="3"/>
    <col width="20" customWidth="1" min="4" max="4"/>
    <col width="3" customWidth="1" min="5" max="5"/>
  </cols>
  <sheetData>
    <row r="1" ht="30" customHeight="1">
      <c r="A1" s="1" t="inlineStr">
        <is>
          <t>🧮 SIMULATEURS</t>
        </is>
      </c>
      <c r="F1" s="2" t="n"/>
    </row>
    <row r="2" ht="16" customHeight="1">
      <c r="A2" s="3" t="inlineStr">
        <is>
          <t>En clair : testez vos idées sans risque — salaire, dividendes, scénarios de fin d'année.</t>
        </is>
      </c>
      <c r="F2" s="2" t="n"/>
    </row>
    <row r="3" ht="26" customHeight="1">
      <c r="A3" s="2" t="n"/>
      <c r="B3" s="53" t="inlineStr">
        <is>
          <t>💡 Trois mini-outils indépendants. Modifiez les cellules crème, tout se recalcule instantanément. Aucune saisie ici ne modifie vos autres onglets.</t>
        </is>
      </c>
      <c r="F3" s="2" t="n"/>
    </row>
    <row r="4">
      <c r="A4" s="2" t="n"/>
      <c r="B4" s="2" t="n"/>
      <c r="C4" s="2" t="n"/>
      <c r="D4" s="2" t="n"/>
      <c r="E4" s="2" t="n"/>
      <c r="F4" s="2" t="n"/>
    </row>
    <row r="5" ht="20" customHeight="1">
      <c r="A5" s="2" t="n"/>
      <c r="B5" s="25" t="inlineStr">
        <is>
          <t>1 · COMBIEN FACTURER POUR ME PAYER X € NET ? (ESTIMATION)</t>
        </is>
      </c>
      <c r="C5" s="22" t="n"/>
      <c r="D5" s="24" t="n"/>
      <c r="E5" s="2" t="n"/>
      <c r="F5" s="2" t="n"/>
    </row>
    <row r="6">
      <c r="A6" s="2" t="n"/>
      <c r="B6" s="111" t="inlineStr">
        <is>
          <t>Salaire net mensuel souhaité</t>
        </is>
      </c>
      <c r="C6" s="70">
        <f>SALAIRE_NET</f>
        <v/>
      </c>
      <c r="D6" s="112" t="n"/>
      <c r="E6" s="2" t="n"/>
      <c r="F6" s="2" t="n"/>
    </row>
    <row r="7">
      <c r="A7" s="2" t="n"/>
      <c r="B7" s="111" t="inlineStr">
        <is>
          <t>+ Cotisations sociales estimées (selon votre statut)</t>
        </is>
      </c>
      <c r="C7" s="44">
        <f>ROUND($C$6*TAUX_CHARGES,2)</f>
        <v/>
      </c>
      <c r="D7" s="112" t="n"/>
      <c r="E7" s="2" t="n"/>
      <c r="F7" s="2" t="n"/>
    </row>
    <row r="8">
      <c r="A8" s="2" t="n"/>
      <c r="B8" s="113" t="inlineStr">
        <is>
          <t>→ Coût total de votre rémunération</t>
        </is>
      </c>
      <c r="C8" s="82">
        <f>$C$6+$C$7</f>
        <v/>
      </c>
      <c r="D8" s="112" t="n"/>
      <c r="E8" s="2" t="n"/>
      <c r="F8" s="2" t="n"/>
    </row>
    <row r="9">
      <c r="A9" s="2" t="n"/>
      <c r="B9" s="111" t="inlineStr">
        <is>
          <t>+ Frais de fonctionnement mensuels moyens (auto)</t>
        </is>
      </c>
      <c r="C9" s="44">
        <f>IFERROR(IF('💸 Dépenses'!$O$6&gt;0,'💸 Dépenses'!$O$6/IF(YEAR(TODAY())&gt;ANNEE,12,IF(YEAR(TODAY())&lt;ANNEE,1,MONTH(TODAY()))),('📋 Budget'!$O$31-'📋 Budget'!$O$24-'📋 Budget'!$O$25)/12),0)</f>
        <v/>
      </c>
      <c r="D9" s="112" t="n"/>
      <c r="E9" s="2" t="n"/>
      <c r="F9" s="2" t="n"/>
    </row>
    <row r="10">
      <c r="A10" s="2" t="n"/>
      <c r="B10" s="111" t="inlineStr">
        <is>
          <t>+ Marge de sécurité mensuelle (modifiable)</t>
        </is>
      </c>
      <c r="C10" s="70" t="n">
        <v>300</v>
      </c>
      <c r="D10" s="112" t="n"/>
      <c r="E10" s="2" t="n"/>
      <c r="F10" s="2" t="n"/>
    </row>
    <row r="11">
      <c r="A11" s="2" t="n"/>
      <c r="B11" s="111" t="inlineStr">
        <is>
          <t>+ Provision d'IS indicative sur cette marge</t>
        </is>
      </c>
      <c r="C11" s="44">
        <f>IFERROR(IF($C$10*12&lt;=SEUIL_IS,ROUND($C$10*TAUX_IS_REDUIT,2),ROUND((SEUIL_IS*TAUX_IS_REDUIT+($C$10*12-SEUIL_IS)*TAUX_IS_NORMAL)/12,2)),0)</f>
        <v/>
      </c>
      <c r="D11" s="112" t="n"/>
      <c r="E11" s="2" t="n"/>
      <c r="F11" s="2" t="n"/>
    </row>
    <row r="12">
      <c r="A12" s="2" t="n"/>
      <c r="B12" s="114" t="inlineStr">
        <is>
          <t>→ CA HT à facturer chaque mois</t>
        </is>
      </c>
      <c r="C12" s="115">
        <f>ROUND(SUM($C$8:$C$11),0)</f>
        <v/>
      </c>
      <c r="D12" s="112" t="n"/>
      <c r="E12" s="2" t="n"/>
      <c r="F12" s="2" t="n"/>
    </row>
    <row r="13">
      <c r="A13" s="2" t="n"/>
      <c r="B13" s="111" t="inlineStr">
        <is>
          <t>Jours facturables par mois (modifiable)</t>
        </is>
      </c>
      <c r="C13" s="72" t="n">
        <v>18</v>
      </c>
      <c r="D13" s="112" t="n"/>
      <c r="E13" s="2" t="n"/>
      <c r="F13" s="2" t="n"/>
    </row>
    <row r="14">
      <c r="A14" s="2" t="n"/>
      <c r="B14" s="113" t="inlineStr">
        <is>
          <t>→ Tarif jour indicatif (TJM)</t>
        </is>
      </c>
      <c r="C14" s="80">
        <f>IFERROR(ROUND($C$12/$C$13,0),0)</f>
        <v/>
      </c>
      <c r="D14" s="112" t="n"/>
      <c r="E14" s="2" t="n"/>
      <c r="F14" s="2" t="n"/>
    </row>
    <row r="15">
      <c r="A15" s="2" t="n"/>
      <c r="B15" s="116" t="inlineStr">
        <is>
          <t>Estimation hors TVA. Les frais moyens viennent de vos dépenses saisies (ou de votre budget en tout début d'année).</t>
        </is>
      </c>
      <c r="C15" s="35" t="n"/>
      <c r="D15" s="38" t="n"/>
      <c r="E15" s="2" t="n"/>
      <c r="F15" s="2" t="n"/>
    </row>
    <row r="16">
      <c r="A16" s="2" t="n"/>
      <c r="B16" s="2" t="n"/>
      <c r="C16" s="2" t="n"/>
      <c r="D16" s="2" t="n"/>
      <c r="E16" s="2" t="n"/>
      <c r="F16" s="2" t="n"/>
    </row>
    <row r="17">
      <c r="A17" s="2" t="n"/>
      <c r="B17" s="2" t="n"/>
      <c r="C17" s="2" t="n"/>
      <c r="D17" s="2" t="n"/>
      <c r="E17" s="2" t="n"/>
      <c r="F17" s="2" t="n"/>
    </row>
    <row r="18" ht="20" customHeight="1">
      <c r="A18" s="2" t="n"/>
      <c r="B18" s="25" t="inlineStr">
        <is>
          <t>2 · RÉMUNÉRATION OU DIVIDENDES ? (COMPARATEUR INDICATIF)</t>
        </is>
      </c>
      <c r="C18" s="22" t="n"/>
      <c r="D18" s="24" t="n"/>
      <c r="E18" s="2" t="n"/>
      <c r="F18" s="2" t="n"/>
    </row>
    <row r="19">
      <c r="A19" s="2" t="n"/>
      <c r="B19" s="111" t="inlineStr">
        <is>
          <t>Enveloppe annuelle disponible (avant charges et impôts)</t>
        </is>
      </c>
      <c r="C19" s="70" t="n">
        <v>30000</v>
      </c>
      <c r="D19" s="112" t="n"/>
      <c r="E19" s="2" t="n"/>
      <c r="F19" s="2" t="n"/>
    </row>
    <row r="20">
      <c r="A20" s="2" t="n"/>
      <c r="B20" s="113" t="inlineStr">
        <is>
          <t>Option A — Rémunération : net perçu sur l'année</t>
        </is>
      </c>
      <c r="C20" s="80">
        <f>ROUND($C$19/(1+TAUX_CHARGES),0)</f>
        <v/>
      </c>
      <c r="D20" s="112" t="n"/>
      <c r="E20" s="2" t="n"/>
      <c r="F20" s="2" t="n"/>
    </row>
    <row r="21">
      <c r="A21" s="2" t="n"/>
      <c r="B21" s="117" t="inlineStr">
        <is>
          <t>Les cotisations versées financent votre retraite, votre maladie et votre protection sociale.</t>
        </is>
      </c>
      <c r="D21" s="29" t="n"/>
      <c r="E21" s="2" t="n"/>
      <c r="F21" s="2" t="n"/>
    </row>
    <row r="22">
      <c r="A22" s="2" t="n"/>
      <c r="B22" s="111" t="inlineStr">
        <is>
          <t>Option B — IS payé d'abord par la société</t>
        </is>
      </c>
      <c r="C22" s="44">
        <f>IF($C$19&lt;=0,0,IF($C$19&lt;=SEUIL_IS,ROUND($C$19*TAUX_IS_REDUIT,0),ROUND(SEUIL_IS*TAUX_IS_REDUIT+($C$19-SEUIL_IS)*TAUX_IS_NORMAL,0)))</f>
        <v/>
      </c>
      <c r="D22" s="112" t="n"/>
      <c r="E22" s="2" t="n"/>
      <c r="F22" s="2" t="n"/>
    </row>
    <row r="23">
      <c r="A23" s="2" t="n"/>
      <c r="B23" s="111" t="inlineStr">
        <is>
          <t>Option B — Dividendes distribuables (après IS)</t>
        </is>
      </c>
      <c r="C23" s="44">
        <f>$C$19-$C$22</f>
        <v/>
      </c>
      <c r="D23" s="112" t="n"/>
      <c r="E23" s="2" t="n"/>
      <c r="F23" s="2" t="n"/>
    </row>
    <row r="24">
      <c r="A24" s="2" t="n"/>
      <c r="B24" s="111" t="inlineStr">
        <is>
          <t>Option B — Flat tax (PFU, taux en ⚙️ Paramètres)</t>
        </is>
      </c>
      <c r="C24" s="44">
        <f>ROUND($C$23*FLAT_TAX,0)</f>
        <v/>
      </c>
      <c r="D24" s="112" t="n"/>
      <c r="E24" s="2" t="n"/>
      <c r="F24" s="2" t="n"/>
    </row>
    <row r="25">
      <c r="A25" s="2" t="n"/>
      <c r="B25" s="113" t="inlineStr">
        <is>
          <t>Option B — Dividendes : net perçu sur l'année</t>
        </is>
      </c>
      <c r="C25" s="80">
        <f>$C$23-$C$24</f>
        <v/>
      </c>
      <c r="D25" s="112" t="n"/>
      <c r="E25" s="2" t="n"/>
      <c r="F25" s="2" t="n"/>
    </row>
    <row r="26">
      <c r="A26" s="2" t="n"/>
      <c r="B26" s="113" t="inlineStr">
        <is>
          <t>Verdict indicatif</t>
        </is>
      </c>
      <c r="C26" s="118">
        <f>IF($C$20&gt;=$C$25,"Rémunération : +"&amp;ROUND($C$20-$C$25,0)&amp;" € net","Dividendes : +"&amp;ROUND($C$25-$C$20,0)&amp;" € net")</f>
        <v/>
      </c>
      <c r="D26" s="63" t="n"/>
      <c r="E26" s="2" t="n"/>
      <c r="F26" s="2" t="n"/>
    </row>
    <row r="27">
      <c r="A27" s="2" t="n"/>
      <c r="B27" s="117" t="inlineStr">
        <is>
          <t>Comparateur simplifié à visée pédagogique — l'arbitrage réel dépend de votre situation (retraite, protection sociale, abattements, autres revenus…). Parlez-en à un expert-comptable.</t>
        </is>
      </c>
      <c r="D27" s="29" t="n"/>
      <c r="E27" s="2" t="n"/>
      <c r="F27" s="2" t="n"/>
    </row>
    <row r="28">
      <c r="A28" s="2" t="n"/>
      <c r="B28" s="119" t="n"/>
      <c r="C28" s="35" t="n"/>
      <c r="D28" s="38" t="n"/>
      <c r="E28" s="2" t="n"/>
      <c r="F28" s="2" t="n"/>
    </row>
    <row r="29">
      <c r="A29" s="2" t="n"/>
      <c r="B29" s="2" t="n"/>
      <c r="C29" s="2" t="n"/>
      <c r="D29" s="2" t="n"/>
      <c r="E29" s="2" t="n"/>
      <c r="F29" s="2" t="n"/>
    </row>
    <row r="30" ht="20" customHeight="1">
      <c r="A30" s="2" t="n"/>
      <c r="B30" s="25" t="inlineStr">
        <is>
          <t>3 · ET SI… ? (PROJECTION DE FIN D'ANNÉE)</t>
        </is>
      </c>
      <c r="C30" s="22" t="n"/>
      <c r="D30" s="24" t="n"/>
      <c r="E30" s="2" t="n"/>
      <c r="F30" s="2" t="n"/>
    </row>
    <row r="31">
      <c r="A31" s="2" t="n"/>
      <c r="B31" s="120" t="n"/>
      <c r="C31" s="41" t="inlineStr">
        <is>
          <t>Votre hypothèse</t>
        </is>
      </c>
      <c r="D31" s="121" t="inlineStr">
        <is>
          <t>Au rythme actuel (auto)</t>
        </is>
      </c>
      <c r="E31" s="2" t="n"/>
      <c r="F31" s="2" t="n"/>
    </row>
    <row r="32">
      <c r="A32" s="2" t="n"/>
      <c r="B32" s="111" t="inlineStr">
        <is>
          <t>CA mensuel pour les mois restants</t>
        </is>
      </c>
      <c r="C32" s="70" t="n">
        <v>8000</v>
      </c>
      <c r="D32" s="122">
        <f>IFERROR(SUM('📊 Suivi mensuel'!$D$7:INDEX('📊 Suivi mensuel'!$D$7:$D$18,IF(YEAR(TODAY())&gt;ANNEE,12,IF(YEAR(TODAY())&lt;ANNEE,1,MONTH(TODAY())))))/IF(YEAR(TODAY())&gt;ANNEE,12,IF(YEAR(TODAY())&lt;ANNEE,1,MONTH(TODAY()))),0)</f>
        <v/>
      </c>
      <c r="E32" s="2" t="n"/>
      <c r="F32" s="2" t="n"/>
    </row>
    <row r="33">
      <c r="A33" s="2" t="n"/>
      <c r="B33" s="111" t="inlineStr">
        <is>
          <t>Dépenses mensuelles (hors rémunération) restantes</t>
        </is>
      </c>
      <c r="C33" s="70" t="n">
        <v>1500</v>
      </c>
      <c r="D33" s="122">
        <f>IFERROR('💸 Dépenses'!$O$6/IF(YEAR(TODAY())&gt;ANNEE,12,IF(YEAR(TODAY())&lt;ANNEE,1,MONTH(TODAY()))),0)</f>
        <v/>
      </c>
      <c r="E33" s="2" t="n"/>
      <c r="F33" s="2" t="n"/>
    </row>
    <row r="34">
      <c r="A34" s="2" t="n"/>
      <c r="B34" s="111" t="inlineStr">
        <is>
          <t>Mois restants dans l'année</t>
        </is>
      </c>
      <c r="C34" s="123">
        <f>12-IF(YEAR(TODAY())&gt;ANNEE,12,IF(YEAR(TODAY())&lt;ANNEE,1,MONTH(TODAY())))</f>
        <v/>
      </c>
      <c r="D34" s="63" t="n"/>
      <c r="E34" s="2" t="n"/>
      <c r="F34" s="2" t="n"/>
    </row>
    <row r="35">
      <c r="A35" s="2" t="n"/>
      <c r="B35" s="111" t="inlineStr">
        <is>
          <t>CA annuel projeté</t>
        </is>
      </c>
      <c r="C35" s="44">
        <f>SUM('📊 Suivi mensuel'!$D$7:INDEX('📊 Suivi mensuel'!$D$7:$D$18,IF(YEAR(TODAY())&gt;ANNEE,12,IF(YEAR(TODAY())&lt;ANNEE,1,MONTH(TODAY())))))+$C$32*(12-IF(YEAR(TODAY())&gt;ANNEE,12,IF(YEAR(TODAY())&lt;ANNEE,1,MONTH(TODAY()))))</f>
        <v/>
      </c>
      <c r="D35" s="122">
        <f>SUM('📊 Suivi mensuel'!$D$7:INDEX('📊 Suivi mensuel'!$D$7:$D$18,IF(YEAR(TODAY())&gt;ANNEE,12,IF(YEAR(TODAY())&lt;ANNEE,1,MONTH(TODAY())))))+$D$32*(12-IF(YEAR(TODAY())&gt;ANNEE,12,IF(YEAR(TODAY())&lt;ANNEE,1,MONTH(TODAY()))))</f>
        <v/>
      </c>
      <c r="E35" s="2" t="n"/>
      <c r="F35" s="2" t="n"/>
    </row>
    <row r="36">
      <c r="A36" s="2" t="n"/>
      <c r="B36" s="111" t="inlineStr">
        <is>
          <t>Dépenses annuelles projetées (avec rémunération)</t>
        </is>
      </c>
      <c r="C36" s="44">
        <f>SUM('📊 Suivi mensuel'!$G$7:INDEX('📊 Suivi mensuel'!$G$7:$G$18,IF(YEAR(TODAY())&gt;ANNEE,12,IF(YEAR(TODAY())&lt;ANNEE,1,MONTH(TODAY())))))+($C$33+ROUND(SALAIRE_NET*(1+TAUX_CHARGES),2))*(12-IF(YEAR(TODAY())&gt;ANNEE,12,IF(YEAR(TODAY())&lt;ANNEE,1,MONTH(TODAY()))))</f>
        <v/>
      </c>
      <c r="D36" s="122">
        <f>SUM('📊 Suivi mensuel'!$G$7:INDEX('📊 Suivi mensuel'!$G$7:$G$18,IF(YEAR(TODAY())&gt;ANNEE,12,IF(YEAR(TODAY())&lt;ANNEE,1,MONTH(TODAY())))))+($D$33+ROUND(SALAIRE_NET*(1+TAUX_CHARGES),2))*(12-IF(YEAR(TODAY())&gt;ANNEE,12,IF(YEAR(TODAY())&lt;ANNEE,1,MONTH(TODAY()))))</f>
        <v/>
      </c>
      <c r="E36" s="2" t="n"/>
      <c r="F36" s="2" t="n"/>
    </row>
    <row r="37">
      <c r="A37" s="2" t="n"/>
      <c r="B37" s="113" t="inlineStr">
        <is>
          <t>Résultat annuel projeté</t>
        </is>
      </c>
      <c r="C37" s="80">
        <f>$C$35-$C$36</f>
        <v/>
      </c>
      <c r="D37" s="124">
        <f>$D$35-$D$36</f>
        <v/>
      </c>
      <c r="E37" s="2" t="n"/>
      <c r="F37" s="2" t="n"/>
    </row>
    <row r="38">
      <c r="A38" s="2" t="n"/>
      <c r="B38" s="111" t="inlineStr">
        <is>
          <t>IS estimé sur ce résultat</t>
        </is>
      </c>
      <c r="C38" s="44">
        <f>IF($C$37&lt;=0,0,IF($C$37&lt;=SEUIL_IS,ROUND($C$37*TAUX_IS_REDUIT,0),ROUND(SEUIL_IS*TAUX_IS_REDUIT+($C$37-SEUIL_IS)*TAUX_IS_NORMAL,0)))</f>
        <v/>
      </c>
      <c r="D38" s="122">
        <f>IF($D$37&lt;=0,0,IF($D$37&lt;=SEUIL_IS,ROUND($D$37*TAUX_IS_REDUIT,0),ROUND(SEUIL_IS*TAUX_IS_REDUIT+($D$37-SEUIL_IS)*TAUX_IS_NORMAL,0)))</f>
        <v/>
      </c>
      <c r="E38" s="2" t="n"/>
      <c r="F38" s="2" t="n"/>
    </row>
    <row r="39">
      <c r="A39" s="2" t="n"/>
      <c r="B39" s="113" t="inlineStr">
        <is>
          <t>Trésorerie estimée fin d'année (hors TVA)</t>
        </is>
      </c>
      <c r="C39" s="80">
        <f>IFERROR(INDEX('🏦 Trésorerie'!$C$20:$N$20,IF(YEAR(TODAY())&gt;ANNEE,12,IF(YEAR(TODAY())&lt;ANNEE,1,MONTH(TODAY()))))+($C$35-SUM('📊 Suivi mensuel'!$D$7:INDEX('📊 Suivi mensuel'!$D$7:$D$18,IF(YEAR(TODAY())&gt;ANNEE,12,IF(YEAR(TODAY())&lt;ANNEE,1,MONTH(TODAY()))))))-($C$36-SUM('📊 Suivi mensuel'!$G$7:INDEX('📊 Suivi mensuel'!$G$7:$G$18,IF(YEAR(TODAY())&gt;ANNEE,12,IF(YEAR(TODAY())&lt;ANNEE,1,MONTH(TODAY()))))))-$C$38,0)</f>
        <v/>
      </c>
      <c r="D39" s="124">
        <f>IFERROR(INDEX('🏦 Trésorerie'!$C$20:$N$20,IF(YEAR(TODAY())&gt;ANNEE,12,IF(YEAR(TODAY())&lt;ANNEE,1,MONTH(TODAY()))))+($D$35-SUM('📊 Suivi mensuel'!$D$7:INDEX('📊 Suivi mensuel'!$D$7:$D$18,IF(YEAR(TODAY())&gt;ANNEE,12,IF(YEAR(TODAY())&lt;ANNEE,1,MONTH(TODAY()))))))-($D$36-SUM('📊 Suivi mensuel'!$G$7:INDEX('📊 Suivi mensuel'!$G$7:$G$18,IF(YEAR(TODAY())&gt;ANNEE,12,IF(YEAR(TODAY())&lt;ANNEE,1,MONTH(TODAY()))))))-$D$38,0)</f>
        <v/>
      </c>
      <c r="E39" s="2" t="n"/>
      <c r="F39" s="2" t="n"/>
    </row>
    <row r="40">
      <c r="A40" s="2" t="n"/>
      <c r="B40" s="117" t="inlineStr">
        <is>
          <t>Projection simplifiée : elle suppose des encaissements immédiats et ne tient pas compte de la TVA. Utilisez-la pour comparer des scénarios, pas comme une prévision exacte.</t>
        </is>
      </c>
      <c r="D40" s="29" t="n"/>
      <c r="E40" s="2" t="n"/>
      <c r="F40" s="2" t="n"/>
    </row>
    <row r="41">
      <c r="A41" s="2" t="n"/>
      <c r="B41" s="119" t="n"/>
      <c r="C41" s="35" t="n"/>
      <c r="D41" s="38"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sheetData>
  <mergeCells count="12">
    <mergeCell ref="C34:D34"/>
    <mergeCell ref="B5:D5"/>
    <mergeCell ref="B40:D41"/>
    <mergeCell ref="A2:E2"/>
    <mergeCell ref="B27:D28"/>
    <mergeCell ref="B18:D18"/>
    <mergeCell ref="A1:E1"/>
    <mergeCell ref="B3:E3"/>
    <mergeCell ref="B21:D21"/>
    <mergeCell ref="B30:D30"/>
    <mergeCell ref="B15:D15"/>
    <mergeCell ref="C26:D26"/>
  </mergeCells>
  <conditionalFormatting sqref="C39:D39">
    <cfRule type="cellIs" priority="1" operator="lessThan" dxfId="2">
      <formula>0</formula>
    </cfRule>
  </conditionalFormatting>
  <pageMargins left="0.75" right="0.75" top="1" bottom="1" header="0.5" footer="0.5"/>
</worksheet>
</file>

<file path=xl/worksheets/sheet12.xml><?xml version="1.0" encoding="utf-8"?>
<worksheet xmlns="http://schemas.openxmlformats.org/spreadsheetml/2006/main">
  <sheetPr>
    <tabColor rgb="008B7D6B"/>
    <outlinePr summaryBelow="1" summaryRight="1"/>
    <pageSetUpPr/>
  </sheetPr>
  <dimension ref="A1:J165"/>
  <sheetViews>
    <sheetView showGridLines="0" workbookViewId="0">
      <pane ySplit="9" topLeftCell="A10" activePane="bottomLeft" state="frozen"/>
      <selection pane="bottomLeft" activeCell="A1" sqref="A1"/>
    </sheetView>
  </sheetViews>
  <sheetFormatPr baseColWidth="8" defaultRowHeight="15"/>
  <cols>
    <col width="2.5" customWidth="1" min="1" max="1"/>
    <col width="12" customWidth="1" min="2" max="2"/>
    <col width="36" customWidth="1" min="3" max="3"/>
    <col width="18" customWidth="1" min="4" max="4"/>
    <col width="18" customWidth="1" min="5" max="5"/>
    <col width="12" customWidth="1" min="6" max="6"/>
    <col width="3" customWidth="1" min="7" max="7"/>
    <col width="28" customWidth="1" min="8" max="8"/>
    <col width="16" customWidth="1" min="9" max="9"/>
    <col width="3" customWidth="1" min="10" max="10"/>
  </cols>
  <sheetData>
    <row r="1" ht="30" customHeight="1">
      <c r="A1" s="1" t="inlineStr">
        <is>
          <t>🚗 INDEMNITÉS KILOMÉTRIQUES</t>
        </is>
      </c>
      <c r="J1" s="2" t="n"/>
    </row>
    <row r="2" ht="16" customHeight="1">
      <c r="A2" s="3" t="inlineStr">
        <is>
          <t>En clair : vos trajets pro deviennent un remboursement défiscalisé — notez-les, c'est de l'argent.</t>
        </is>
      </c>
      <c r="J2" s="2" t="n"/>
    </row>
    <row r="3" ht="26" customHeight="1">
      <c r="A3" s="2" t="n"/>
      <c r="B3" s="53" t="inlineStr">
        <is>
          <t>💡 Choisissez la puissance fiscale de votre véhicule, puis saisissez chaque déplacement (km aller-retour). L'indemnité est calculée sur le total annuel selon le barème de l'onglet ⚙️ Paramètres (tranches ≤ 5 000 km / 5 001–20 000 km / au-delà).</t>
        </is>
      </c>
      <c r="J3" s="2" t="n"/>
    </row>
    <row r="4">
      <c r="A4" s="2" t="n"/>
      <c r="B4" s="2" t="n"/>
      <c r="C4" s="2" t="n"/>
      <c r="D4" s="2" t="n"/>
      <c r="E4" s="2" t="n"/>
      <c r="F4" s="2" t="n"/>
      <c r="G4" s="2" t="n"/>
      <c r="H4" s="2" t="n"/>
      <c r="I4" s="2" t="n"/>
      <c r="J4" s="2" t="n"/>
    </row>
    <row r="5" ht="20" customHeight="1">
      <c r="A5" s="2" t="n"/>
      <c r="B5" s="2" t="n"/>
      <c r="C5" s="2" t="n"/>
      <c r="D5" s="2" t="n"/>
      <c r="E5" s="2" t="n"/>
      <c r="F5" s="2" t="n"/>
      <c r="G5" s="2" t="n"/>
      <c r="H5" s="94" t="inlineStr">
        <is>
          <t>VOTRE VÉHICULE &amp; VOS INDEMNITÉS</t>
        </is>
      </c>
      <c r="I5" s="95" t="n"/>
      <c r="J5" s="2" t="n"/>
    </row>
    <row r="6">
      <c r="A6" s="2" t="n"/>
      <c r="B6" s="2" t="n"/>
      <c r="C6" s="2" t="n"/>
      <c r="D6" s="2" t="n"/>
      <c r="E6" s="2" t="n"/>
      <c r="F6" s="2" t="n"/>
      <c r="G6" s="2" t="n"/>
      <c r="H6" s="96" t="inlineStr">
        <is>
          <t>Puissance fiscale</t>
        </is>
      </c>
      <c r="I6" s="125" t="inlineStr">
        <is>
          <t>5 CV</t>
        </is>
      </c>
      <c r="J6" s="2" t="n"/>
    </row>
    <row r="7">
      <c r="A7" s="2" t="n"/>
      <c r="B7" s="2" t="n"/>
      <c r="C7" s="2" t="n"/>
      <c r="D7" s="2" t="n"/>
      <c r="E7" s="2" t="n"/>
      <c r="F7" s="2" t="n"/>
      <c r="G7" s="2" t="n"/>
      <c r="H7" s="96" t="inlineStr">
        <is>
          <t>Total km sur l'année</t>
        </is>
      </c>
      <c r="I7" s="126">
        <f>SUM($F$10:$F$159)</f>
        <v/>
      </c>
      <c r="J7" s="2" t="n"/>
    </row>
    <row r="8">
      <c r="A8" s="2" t="n"/>
      <c r="B8" s="2" t="n"/>
      <c r="C8" s="2" t="n"/>
      <c r="D8" s="2" t="n"/>
      <c r="E8" s="2" t="n"/>
      <c r="F8" s="2" t="n"/>
      <c r="G8" s="2" t="n"/>
      <c r="H8" s="127" t="inlineStr">
        <is>
          <t>Indemnité kilométrique estimée</t>
        </is>
      </c>
      <c r="I8" s="99">
        <f>IFERROR(IF($I$7&lt;=0,0,IF($I$7&lt;=5000,ROUND($I$7*VLOOKUP($I$6,BAREME_KM,2,0),2),IF($I$7&lt;=20000,ROUND($I$7*VLOOKUP($I$6,BAREME_KM,3,0)+VLOOKUP($I$6,BAREME_KM,4,0),2),ROUND($I$7*VLOOKUP($I$6,BAREME_KM,5,0),2)))),0)</f>
        <v/>
      </c>
      <c r="J8" s="2" t="n"/>
    </row>
    <row r="9" ht="22" customHeight="1">
      <c r="A9" s="2" t="n"/>
      <c r="B9" s="83" t="inlineStr">
        <is>
          <t>Date</t>
        </is>
      </c>
      <c r="C9" s="83" t="inlineStr">
        <is>
          <t>Motif du déplacement</t>
        </is>
      </c>
      <c r="D9" s="83" t="inlineStr">
        <is>
          <t>Départ</t>
        </is>
      </c>
      <c r="E9" s="83" t="inlineStr">
        <is>
          <t>Arrivée</t>
        </is>
      </c>
      <c r="F9" s="83" t="inlineStr">
        <is>
          <t>Km A/R</t>
        </is>
      </c>
      <c r="G9" s="2" t="n"/>
      <c r="H9" s="2" t="n"/>
      <c r="I9" s="2" t="n"/>
      <c r="J9" s="2" t="n"/>
    </row>
    <row r="10">
      <c r="A10" s="2" t="n"/>
      <c r="B10" s="84" t="n">
        <v>46030</v>
      </c>
      <c r="C10" s="78" t="inlineStr">
        <is>
          <t>RDV client — Studio Novelli</t>
        </is>
      </c>
      <c r="D10" s="78" t="inlineStr">
        <is>
          <t>Vannes</t>
        </is>
      </c>
      <c r="E10" s="78" t="inlineStr">
        <is>
          <t>Nantes</t>
        </is>
      </c>
      <c r="F10" s="128" t="n">
        <v>220</v>
      </c>
      <c r="G10" s="2" t="n"/>
      <c r="H10" s="2" t="n"/>
      <c r="I10" s="2" t="n"/>
      <c r="J10" s="2" t="n"/>
    </row>
    <row r="11">
      <c r="A11" s="2" t="n"/>
      <c r="B11" s="84" t="n">
        <v>46037</v>
      </c>
      <c r="C11" s="78" t="inlineStr">
        <is>
          <t>Signature contrat</t>
        </is>
      </c>
      <c r="D11" s="78" t="inlineStr">
        <is>
          <t>Vannes</t>
        </is>
      </c>
      <c r="E11" s="78" t="inlineStr">
        <is>
          <t>Lorient</t>
        </is>
      </c>
      <c r="F11" s="128" t="n">
        <v>110</v>
      </c>
      <c r="G11" s="2" t="n"/>
      <c r="H11" s="2" t="n"/>
      <c r="I11" s="2" t="n"/>
      <c r="J11" s="2" t="n"/>
    </row>
    <row r="12">
      <c r="A12" s="2" t="n"/>
      <c r="B12" s="84" t="n">
        <v>46044</v>
      </c>
      <c r="C12" s="78" t="inlineStr">
        <is>
          <t>Formation — Mairie de Beaulieu</t>
        </is>
      </c>
      <c r="D12" s="78" t="inlineStr">
        <is>
          <t>Vannes</t>
        </is>
      </c>
      <c r="E12" s="78" t="inlineStr">
        <is>
          <t>Beaulieu</t>
        </is>
      </c>
      <c r="F12" s="128" t="n">
        <v>86</v>
      </c>
      <c r="G12" s="2" t="n"/>
      <c r="H12" s="2" t="n"/>
      <c r="I12" s="2" t="n"/>
      <c r="J12" s="2" t="n"/>
    </row>
    <row r="13">
      <c r="A13" s="2" t="n"/>
      <c r="B13" s="84" t="n">
        <v>46051</v>
      </c>
      <c r="C13" s="78" t="inlineStr">
        <is>
          <t>Prospection réseau d'affaires</t>
        </is>
      </c>
      <c r="D13" s="78" t="inlineStr">
        <is>
          <t>Vannes</t>
        </is>
      </c>
      <c r="E13" s="78" t="inlineStr">
        <is>
          <t>Rennes</t>
        </is>
      </c>
      <c r="F13" s="128" t="n">
        <v>230</v>
      </c>
      <c r="G13" s="2" t="n"/>
      <c r="H13" s="2" t="n"/>
      <c r="I13" s="2" t="n"/>
      <c r="J13" s="2" t="n"/>
    </row>
    <row r="14">
      <c r="A14" s="2" t="n"/>
      <c r="B14" s="84" t="n">
        <v>46058</v>
      </c>
      <c r="C14" s="78" t="inlineStr">
        <is>
          <t>Atelier — Éditions Clairval</t>
        </is>
      </c>
      <c r="D14" s="78" t="inlineStr">
        <is>
          <t>Vannes</t>
        </is>
      </c>
      <c r="E14" s="78" t="inlineStr">
        <is>
          <t>Auray</t>
        </is>
      </c>
      <c r="F14" s="128" t="n">
        <v>42</v>
      </c>
      <c r="G14" s="2" t="n"/>
      <c r="H14" s="2" t="n"/>
      <c r="I14" s="2" t="n"/>
      <c r="J14" s="2" t="n"/>
    </row>
    <row r="15">
      <c r="A15" s="2" t="n"/>
      <c r="B15" s="84" t="n">
        <v>46065</v>
      </c>
      <c r="C15" s="78" t="inlineStr">
        <is>
          <t>Suivi mensuel — Studio Novelli</t>
        </is>
      </c>
      <c r="D15" s="78" t="inlineStr">
        <is>
          <t>Vannes</t>
        </is>
      </c>
      <c r="E15" s="78" t="inlineStr">
        <is>
          <t>Nantes</t>
        </is>
      </c>
      <c r="F15" s="128" t="n">
        <v>220</v>
      </c>
      <c r="G15" s="2" t="n"/>
      <c r="H15" s="2" t="n"/>
      <c r="I15" s="2" t="n"/>
      <c r="J15" s="2" t="n"/>
    </row>
    <row r="16">
      <c r="A16" s="2" t="n"/>
      <c r="B16" s="84" t="n">
        <v>46072</v>
      </c>
      <c r="C16" s="78" t="inlineStr">
        <is>
          <t>Salon des entrepreneurs</t>
        </is>
      </c>
      <c r="D16" s="78" t="inlineStr">
        <is>
          <t>Vannes</t>
        </is>
      </c>
      <c r="E16" s="78" t="inlineStr">
        <is>
          <t>Rennes</t>
        </is>
      </c>
      <c r="F16" s="128" t="n">
        <v>230</v>
      </c>
      <c r="G16" s="2" t="n"/>
      <c r="H16" s="2" t="n"/>
      <c r="I16" s="2" t="n"/>
      <c r="J16" s="2" t="n"/>
    </row>
    <row r="17">
      <c r="A17" s="2" t="n"/>
      <c r="B17" s="84" t="n">
        <v>46085</v>
      </c>
      <c r="C17" s="78" t="inlineStr">
        <is>
          <t>Diagnostic — Groupe Vaillant</t>
        </is>
      </c>
      <c r="D17" s="78" t="inlineStr">
        <is>
          <t>Vannes</t>
        </is>
      </c>
      <c r="E17" s="78" t="inlineStr">
        <is>
          <t>Brest</t>
        </is>
      </c>
      <c r="F17" s="128" t="n">
        <v>370</v>
      </c>
      <c r="G17" s="2" t="n"/>
      <c r="H17" s="2" t="n"/>
      <c r="I17" s="2" t="n"/>
      <c r="J17" s="2" t="n"/>
    </row>
    <row r="18">
      <c r="A18" s="2" t="n"/>
      <c r="B18" s="84" t="n">
        <v>46093</v>
      </c>
      <c r="C18" s="78" t="inlineStr">
        <is>
          <t>RDV expert-comptable</t>
        </is>
      </c>
      <c r="D18" s="78" t="inlineStr">
        <is>
          <t>Vannes</t>
        </is>
      </c>
      <c r="E18" s="78" t="inlineStr">
        <is>
          <t>Vannes centre</t>
        </is>
      </c>
      <c r="F18" s="128" t="n">
        <v>12</v>
      </c>
      <c r="G18" s="2" t="n"/>
      <c r="H18" s="2" t="n"/>
      <c r="I18" s="2" t="n"/>
      <c r="J18" s="2" t="n"/>
    </row>
    <row r="19">
      <c r="A19" s="2" t="n"/>
      <c r="B19" s="84" t="n">
        <v>46099</v>
      </c>
      <c r="C19" s="78" t="inlineStr">
        <is>
          <t>Formation — Mairie de Beaulieu</t>
        </is>
      </c>
      <c r="D19" s="78" t="inlineStr">
        <is>
          <t>Vannes</t>
        </is>
      </c>
      <c r="E19" s="78" t="inlineStr">
        <is>
          <t>Beaulieu</t>
        </is>
      </c>
      <c r="F19" s="128" t="n">
        <v>86</v>
      </c>
      <c r="G19" s="2" t="n"/>
      <c r="H19" s="2" t="n"/>
      <c r="I19" s="2" t="n"/>
      <c r="J19" s="2" t="n"/>
    </row>
    <row r="20">
      <c r="A20" s="2" t="n"/>
      <c r="B20" s="84" t="n"/>
      <c r="C20" s="78" t="n"/>
      <c r="D20" s="78" t="n"/>
      <c r="E20" s="78" t="n"/>
      <c r="F20" s="128" t="n"/>
      <c r="G20" s="2" t="n"/>
      <c r="H20" s="2" t="n"/>
      <c r="I20" s="2" t="n"/>
      <c r="J20" s="2" t="n"/>
    </row>
    <row r="21">
      <c r="A21" s="2" t="n"/>
      <c r="B21" s="84" t="n"/>
      <c r="C21" s="78" t="n"/>
      <c r="D21" s="78" t="n"/>
      <c r="E21" s="78" t="n"/>
      <c r="F21" s="128" t="n"/>
      <c r="G21" s="2" t="n"/>
      <c r="H21" s="2" t="n"/>
      <c r="I21" s="2" t="n"/>
      <c r="J21" s="2" t="n"/>
    </row>
    <row r="22">
      <c r="A22" s="2" t="n"/>
      <c r="B22" s="84" t="n"/>
      <c r="C22" s="78" t="n"/>
      <c r="D22" s="78" t="n"/>
      <c r="E22" s="78" t="n"/>
      <c r="F22" s="128" t="n"/>
      <c r="G22" s="2" t="n"/>
      <c r="H22" s="2" t="n"/>
      <c r="I22" s="2" t="n"/>
      <c r="J22" s="2" t="n"/>
    </row>
    <row r="23">
      <c r="A23" s="2" t="n"/>
      <c r="B23" s="84" t="n"/>
      <c r="C23" s="78" t="n"/>
      <c r="D23" s="78" t="n"/>
      <c r="E23" s="78" t="n"/>
      <c r="F23" s="128" t="n"/>
      <c r="G23" s="2" t="n"/>
      <c r="H23" s="2" t="n"/>
      <c r="I23" s="2" t="n"/>
      <c r="J23" s="2" t="n"/>
    </row>
    <row r="24">
      <c r="A24" s="2" t="n"/>
      <c r="B24" s="84" t="n"/>
      <c r="C24" s="78" t="n"/>
      <c r="D24" s="78" t="n"/>
      <c r="E24" s="78" t="n"/>
      <c r="F24" s="128" t="n"/>
      <c r="G24" s="2" t="n"/>
      <c r="H24" s="2" t="n"/>
      <c r="I24" s="2" t="n"/>
      <c r="J24" s="2" t="n"/>
    </row>
    <row r="25">
      <c r="A25" s="2" t="n"/>
      <c r="B25" s="84" t="n"/>
      <c r="C25" s="78" t="n"/>
      <c r="D25" s="78" t="n"/>
      <c r="E25" s="78" t="n"/>
      <c r="F25" s="128" t="n"/>
      <c r="G25" s="2" t="n"/>
      <c r="H25" s="2" t="n"/>
      <c r="I25" s="2" t="n"/>
      <c r="J25" s="2" t="n"/>
    </row>
    <row r="26">
      <c r="A26" s="2" t="n"/>
      <c r="B26" s="84" t="n"/>
      <c r="C26" s="78" t="n"/>
      <c r="D26" s="78" t="n"/>
      <c r="E26" s="78" t="n"/>
      <c r="F26" s="128" t="n"/>
      <c r="G26" s="2" t="n"/>
      <c r="H26" s="2" t="n"/>
      <c r="I26" s="2" t="n"/>
      <c r="J26" s="2" t="n"/>
    </row>
    <row r="27">
      <c r="A27" s="2" t="n"/>
      <c r="B27" s="84" t="n"/>
      <c r="C27" s="78" t="n"/>
      <c r="D27" s="78" t="n"/>
      <c r="E27" s="78" t="n"/>
      <c r="F27" s="128" t="n"/>
      <c r="G27" s="2" t="n"/>
      <c r="H27" s="2" t="n"/>
      <c r="I27" s="2" t="n"/>
      <c r="J27" s="2" t="n"/>
    </row>
    <row r="28">
      <c r="A28" s="2" t="n"/>
      <c r="B28" s="84" t="n"/>
      <c r="C28" s="78" t="n"/>
      <c r="D28" s="78" t="n"/>
      <c r="E28" s="78" t="n"/>
      <c r="F28" s="128" t="n"/>
      <c r="G28" s="2" t="n"/>
      <c r="H28" s="2" t="n"/>
      <c r="I28" s="2" t="n"/>
      <c r="J28" s="2" t="n"/>
    </row>
    <row r="29">
      <c r="A29" s="2" t="n"/>
      <c r="B29" s="84" t="n"/>
      <c r="C29" s="78" t="n"/>
      <c r="D29" s="78" t="n"/>
      <c r="E29" s="78" t="n"/>
      <c r="F29" s="128" t="n"/>
      <c r="G29" s="2" t="n"/>
      <c r="H29" s="2" t="n"/>
      <c r="I29" s="2" t="n"/>
      <c r="J29" s="2" t="n"/>
    </row>
    <row r="30">
      <c r="A30" s="2" t="n"/>
      <c r="B30" s="84" t="n"/>
      <c r="C30" s="78" t="n"/>
      <c r="D30" s="78" t="n"/>
      <c r="E30" s="78" t="n"/>
      <c r="F30" s="128" t="n"/>
      <c r="G30" s="2" t="n"/>
      <c r="H30" s="2" t="n"/>
      <c r="I30" s="2" t="n"/>
      <c r="J30" s="2" t="n"/>
    </row>
    <row r="31">
      <c r="A31" s="2" t="n"/>
      <c r="B31" s="84" t="n"/>
      <c r="C31" s="78" t="n"/>
      <c r="D31" s="78" t="n"/>
      <c r="E31" s="78" t="n"/>
      <c r="F31" s="128" t="n"/>
      <c r="G31" s="2" t="n"/>
      <c r="H31" s="2" t="n"/>
      <c r="I31" s="2" t="n"/>
      <c r="J31" s="2" t="n"/>
    </row>
    <row r="32">
      <c r="A32" s="2" t="n"/>
      <c r="B32" s="84" t="n"/>
      <c r="C32" s="78" t="n"/>
      <c r="D32" s="78" t="n"/>
      <c r="E32" s="78" t="n"/>
      <c r="F32" s="128" t="n"/>
      <c r="G32" s="2" t="n"/>
      <c r="H32" s="2" t="n"/>
      <c r="I32" s="2" t="n"/>
      <c r="J32" s="2" t="n"/>
    </row>
    <row r="33">
      <c r="A33" s="2" t="n"/>
      <c r="B33" s="84" t="n"/>
      <c r="C33" s="78" t="n"/>
      <c r="D33" s="78" t="n"/>
      <c r="E33" s="78" t="n"/>
      <c r="F33" s="128" t="n"/>
      <c r="G33" s="2" t="n"/>
      <c r="H33" s="2" t="n"/>
      <c r="I33" s="2" t="n"/>
      <c r="J33" s="2" t="n"/>
    </row>
    <row r="34">
      <c r="A34" s="2" t="n"/>
      <c r="B34" s="84" t="n"/>
      <c r="C34" s="78" t="n"/>
      <c r="D34" s="78" t="n"/>
      <c r="E34" s="78" t="n"/>
      <c r="F34" s="128" t="n"/>
      <c r="G34" s="2" t="n"/>
      <c r="H34" s="2" t="n"/>
      <c r="I34" s="2" t="n"/>
      <c r="J34" s="2" t="n"/>
    </row>
    <row r="35">
      <c r="A35" s="2" t="n"/>
      <c r="B35" s="84" t="n"/>
      <c r="C35" s="78" t="n"/>
      <c r="D35" s="78" t="n"/>
      <c r="E35" s="78" t="n"/>
      <c r="F35" s="128" t="n"/>
      <c r="G35" s="2" t="n"/>
      <c r="H35" s="2" t="n"/>
      <c r="I35" s="2" t="n"/>
      <c r="J35" s="2" t="n"/>
    </row>
    <row r="36">
      <c r="A36" s="2" t="n"/>
      <c r="B36" s="84" t="n"/>
      <c r="C36" s="78" t="n"/>
      <c r="D36" s="78" t="n"/>
      <c r="E36" s="78" t="n"/>
      <c r="F36" s="128" t="n"/>
      <c r="G36" s="2" t="n"/>
      <c r="H36" s="2" t="n"/>
      <c r="I36" s="2" t="n"/>
      <c r="J36" s="2" t="n"/>
    </row>
    <row r="37">
      <c r="A37" s="2" t="n"/>
      <c r="B37" s="84" t="n"/>
      <c r="C37" s="78" t="n"/>
      <c r="D37" s="78" t="n"/>
      <c r="E37" s="78" t="n"/>
      <c r="F37" s="128" t="n"/>
      <c r="G37" s="2" t="n"/>
      <c r="H37" s="2" t="n"/>
      <c r="I37" s="2" t="n"/>
      <c r="J37" s="2" t="n"/>
    </row>
    <row r="38">
      <c r="A38" s="2" t="n"/>
      <c r="B38" s="84" t="n"/>
      <c r="C38" s="78" t="n"/>
      <c r="D38" s="78" t="n"/>
      <c r="E38" s="78" t="n"/>
      <c r="F38" s="128" t="n"/>
      <c r="G38" s="2" t="n"/>
      <c r="H38" s="2" t="n"/>
      <c r="I38" s="2" t="n"/>
      <c r="J38" s="2" t="n"/>
    </row>
    <row r="39">
      <c r="A39" s="2" t="n"/>
      <c r="B39" s="84" t="n"/>
      <c r="C39" s="78" t="n"/>
      <c r="D39" s="78" t="n"/>
      <c r="E39" s="78" t="n"/>
      <c r="F39" s="128" t="n"/>
      <c r="G39" s="2" t="n"/>
      <c r="H39" s="2" t="n"/>
      <c r="I39" s="2" t="n"/>
      <c r="J39" s="2" t="n"/>
    </row>
    <row r="40">
      <c r="A40" s="2" t="n"/>
      <c r="B40" s="84" t="n"/>
      <c r="C40" s="78" t="n"/>
      <c r="D40" s="78" t="n"/>
      <c r="E40" s="78" t="n"/>
      <c r="F40" s="128" t="n"/>
      <c r="G40" s="2" t="n"/>
      <c r="H40" s="2" t="n"/>
      <c r="I40" s="2" t="n"/>
      <c r="J40" s="2" t="n"/>
    </row>
    <row r="41">
      <c r="A41" s="2" t="n"/>
      <c r="B41" s="84" t="n"/>
      <c r="C41" s="78" t="n"/>
      <c r="D41" s="78" t="n"/>
      <c r="E41" s="78" t="n"/>
      <c r="F41" s="128" t="n"/>
      <c r="G41" s="2" t="n"/>
      <c r="H41" s="2" t="n"/>
      <c r="I41" s="2" t="n"/>
      <c r="J41" s="2" t="n"/>
    </row>
    <row r="42">
      <c r="A42" s="2" t="n"/>
      <c r="B42" s="84" t="n"/>
      <c r="C42" s="78" t="n"/>
      <c r="D42" s="78" t="n"/>
      <c r="E42" s="78" t="n"/>
      <c r="F42" s="128" t="n"/>
      <c r="G42" s="2" t="n"/>
      <c r="H42" s="2" t="n"/>
      <c r="I42" s="2" t="n"/>
      <c r="J42" s="2" t="n"/>
    </row>
    <row r="43">
      <c r="A43" s="2" t="n"/>
      <c r="B43" s="84" t="n"/>
      <c r="C43" s="78" t="n"/>
      <c r="D43" s="78" t="n"/>
      <c r="E43" s="78" t="n"/>
      <c r="F43" s="128" t="n"/>
      <c r="G43" s="2" t="n"/>
      <c r="H43" s="2" t="n"/>
      <c r="I43" s="2" t="n"/>
      <c r="J43" s="2" t="n"/>
    </row>
    <row r="44">
      <c r="A44" s="2" t="n"/>
      <c r="B44" s="84" t="n"/>
      <c r="C44" s="78" t="n"/>
      <c r="D44" s="78" t="n"/>
      <c r="E44" s="78" t="n"/>
      <c r="F44" s="128" t="n"/>
      <c r="G44" s="2" t="n"/>
      <c r="H44" s="2" t="n"/>
      <c r="I44" s="2" t="n"/>
      <c r="J44" s="2" t="n"/>
    </row>
    <row r="45">
      <c r="A45" s="2" t="n"/>
      <c r="B45" s="84" t="n"/>
      <c r="C45" s="78" t="n"/>
      <c r="D45" s="78" t="n"/>
      <c r="E45" s="78" t="n"/>
      <c r="F45" s="128" t="n"/>
      <c r="G45" s="2" t="n"/>
      <c r="H45" s="2" t="n"/>
      <c r="I45" s="2" t="n"/>
      <c r="J45" s="2" t="n"/>
    </row>
    <row r="46">
      <c r="A46" s="2" t="n"/>
      <c r="B46" s="84" t="n"/>
      <c r="C46" s="78" t="n"/>
      <c r="D46" s="78" t="n"/>
      <c r="E46" s="78" t="n"/>
      <c r="F46" s="128" t="n"/>
      <c r="G46" s="2" t="n"/>
      <c r="H46" s="2" t="n"/>
      <c r="I46" s="2" t="n"/>
      <c r="J46" s="2" t="n"/>
    </row>
    <row r="47">
      <c r="A47" s="2" t="n"/>
      <c r="B47" s="84" t="n"/>
      <c r="C47" s="78" t="n"/>
      <c r="D47" s="78" t="n"/>
      <c r="E47" s="78" t="n"/>
      <c r="F47" s="128" t="n"/>
      <c r="G47" s="2" t="n"/>
      <c r="H47" s="2" t="n"/>
      <c r="I47" s="2" t="n"/>
      <c r="J47" s="2" t="n"/>
    </row>
    <row r="48">
      <c r="A48" s="2" t="n"/>
      <c r="B48" s="84" t="n"/>
      <c r="C48" s="78" t="n"/>
      <c r="D48" s="78" t="n"/>
      <c r="E48" s="78" t="n"/>
      <c r="F48" s="128" t="n"/>
      <c r="G48" s="2" t="n"/>
      <c r="H48" s="2" t="n"/>
      <c r="I48" s="2" t="n"/>
      <c r="J48" s="2" t="n"/>
    </row>
    <row r="49">
      <c r="A49" s="2" t="n"/>
      <c r="B49" s="84" t="n"/>
      <c r="C49" s="78" t="n"/>
      <c r="D49" s="78" t="n"/>
      <c r="E49" s="78" t="n"/>
      <c r="F49" s="128" t="n"/>
      <c r="G49" s="2" t="n"/>
      <c r="H49" s="2" t="n"/>
      <c r="I49" s="2" t="n"/>
      <c r="J49" s="2" t="n"/>
    </row>
    <row r="50">
      <c r="A50" s="2" t="n"/>
      <c r="B50" s="84" t="n"/>
      <c r="C50" s="78" t="n"/>
      <c r="D50" s="78" t="n"/>
      <c r="E50" s="78" t="n"/>
      <c r="F50" s="128" t="n"/>
      <c r="G50" s="2" t="n"/>
      <c r="H50" s="2" t="n"/>
      <c r="I50" s="2" t="n"/>
      <c r="J50" s="2" t="n"/>
    </row>
    <row r="51">
      <c r="A51" s="2" t="n"/>
      <c r="B51" s="84" t="n"/>
      <c r="C51" s="78" t="n"/>
      <c r="D51" s="78" t="n"/>
      <c r="E51" s="78" t="n"/>
      <c r="F51" s="128" t="n"/>
      <c r="G51" s="2" t="n"/>
      <c r="H51" s="2" t="n"/>
      <c r="I51" s="2" t="n"/>
      <c r="J51" s="2" t="n"/>
    </row>
    <row r="52">
      <c r="A52" s="2" t="n"/>
      <c r="B52" s="84" t="n"/>
      <c r="C52" s="78" t="n"/>
      <c r="D52" s="78" t="n"/>
      <c r="E52" s="78" t="n"/>
      <c r="F52" s="128" t="n"/>
      <c r="G52" s="2" t="n"/>
      <c r="H52" s="2" t="n"/>
      <c r="I52" s="2" t="n"/>
      <c r="J52" s="2" t="n"/>
    </row>
    <row r="53">
      <c r="A53" s="2" t="n"/>
      <c r="B53" s="84" t="n"/>
      <c r="C53" s="78" t="n"/>
      <c r="D53" s="78" t="n"/>
      <c r="E53" s="78" t="n"/>
      <c r="F53" s="128" t="n"/>
      <c r="G53" s="2" t="n"/>
      <c r="H53" s="2" t="n"/>
      <c r="I53" s="2" t="n"/>
      <c r="J53" s="2" t="n"/>
    </row>
    <row r="54">
      <c r="A54" s="2" t="n"/>
      <c r="B54" s="84" t="n"/>
      <c r="C54" s="78" t="n"/>
      <c r="D54" s="78" t="n"/>
      <c r="E54" s="78" t="n"/>
      <c r="F54" s="128" t="n"/>
      <c r="G54" s="2" t="n"/>
      <c r="H54" s="2" t="n"/>
      <c r="I54" s="2" t="n"/>
      <c r="J54" s="2" t="n"/>
    </row>
    <row r="55">
      <c r="A55" s="2" t="n"/>
      <c r="B55" s="84" t="n"/>
      <c r="C55" s="78" t="n"/>
      <c r="D55" s="78" t="n"/>
      <c r="E55" s="78" t="n"/>
      <c r="F55" s="128" t="n"/>
      <c r="G55" s="2" t="n"/>
      <c r="H55" s="2" t="n"/>
      <c r="I55" s="2" t="n"/>
      <c r="J55" s="2" t="n"/>
    </row>
    <row r="56">
      <c r="A56" s="2" t="n"/>
      <c r="B56" s="84" t="n"/>
      <c r="C56" s="78" t="n"/>
      <c r="D56" s="78" t="n"/>
      <c r="E56" s="78" t="n"/>
      <c r="F56" s="128" t="n"/>
      <c r="G56" s="2" t="n"/>
      <c r="H56" s="2" t="n"/>
      <c r="I56" s="2" t="n"/>
      <c r="J56" s="2" t="n"/>
    </row>
    <row r="57">
      <c r="A57" s="2" t="n"/>
      <c r="B57" s="84" t="n"/>
      <c r="C57" s="78" t="n"/>
      <c r="D57" s="78" t="n"/>
      <c r="E57" s="78" t="n"/>
      <c r="F57" s="128" t="n"/>
      <c r="G57" s="2" t="n"/>
      <c r="H57" s="2" t="n"/>
      <c r="I57" s="2" t="n"/>
      <c r="J57" s="2" t="n"/>
    </row>
    <row r="58">
      <c r="A58" s="2" t="n"/>
      <c r="B58" s="84" t="n"/>
      <c r="C58" s="78" t="n"/>
      <c r="D58" s="78" t="n"/>
      <c r="E58" s="78" t="n"/>
      <c r="F58" s="128" t="n"/>
      <c r="G58" s="2" t="n"/>
      <c r="H58" s="2" t="n"/>
      <c r="I58" s="2" t="n"/>
      <c r="J58" s="2" t="n"/>
    </row>
    <row r="59">
      <c r="A59" s="2" t="n"/>
      <c r="B59" s="84" t="n"/>
      <c r="C59" s="78" t="n"/>
      <c r="D59" s="78" t="n"/>
      <c r="E59" s="78" t="n"/>
      <c r="F59" s="128" t="n"/>
      <c r="G59" s="2" t="n"/>
      <c r="H59" s="2" t="n"/>
      <c r="I59" s="2" t="n"/>
      <c r="J59" s="2" t="n"/>
    </row>
    <row r="60">
      <c r="A60" s="2" t="n"/>
      <c r="B60" s="84" t="n"/>
      <c r="C60" s="78" t="n"/>
      <c r="D60" s="78" t="n"/>
      <c r="E60" s="78" t="n"/>
      <c r="F60" s="128" t="n"/>
      <c r="G60" s="2" t="n"/>
      <c r="H60" s="2" t="n"/>
      <c r="I60" s="2" t="n"/>
      <c r="J60" s="2" t="n"/>
    </row>
    <row r="61">
      <c r="A61" s="2" t="n"/>
      <c r="B61" s="84" t="n"/>
      <c r="C61" s="78" t="n"/>
      <c r="D61" s="78" t="n"/>
      <c r="E61" s="78" t="n"/>
      <c r="F61" s="128" t="n"/>
      <c r="G61" s="2" t="n"/>
      <c r="H61" s="2" t="n"/>
      <c r="I61" s="2" t="n"/>
      <c r="J61" s="2" t="n"/>
    </row>
    <row r="62">
      <c r="A62" s="2" t="n"/>
      <c r="B62" s="84" t="n"/>
      <c r="C62" s="78" t="n"/>
      <c r="D62" s="78" t="n"/>
      <c r="E62" s="78" t="n"/>
      <c r="F62" s="128" t="n"/>
      <c r="G62" s="2" t="n"/>
      <c r="H62" s="2" t="n"/>
      <c r="I62" s="2" t="n"/>
      <c r="J62" s="2" t="n"/>
    </row>
    <row r="63">
      <c r="A63" s="2" t="n"/>
      <c r="B63" s="84" t="n"/>
      <c r="C63" s="78" t="n"/>
      <c r="D63" s="78" t="n"/>
      <c r="E63" s="78" t="n"/>
      <c r="F63" s="128" t="n"/>
      <c r="G63" s="2" t="n"/>
      <c r="H63" s="2" t="n"/>
      <c r="I63" s="2" t="n"/>
      <c r="J63" s="2" t="n"/>
    </row>
    <row r="64">
      <c r="A64" s="2" t="n"/>
      <c r="B64" s="84" t="n"/>
      <c r="C64" s="78" t="n"/>
      <c r="D64" s="78" t="n"/>
      <c r="E64" s="78" t="n"/>
      <c r="F64" s="128" t="n"/>
      <c r="G64" s="2" t="n"/>
      <c r="H64" s="2" t="n"/>
      <c r="I64" s="2" t="n"/>
      <c r="J64" s="2" t="n"/>
    </row>
    <row r="65">
      <c r="A65" s="2" t="n"/>
      <c r="B65" s="84" t="n"/>
      <c r="C65" s="78" t="n"/>
      <c r="D65" s="78" t="n"/>
      <c r="E65" s="78" t="n"/>
      <c r="F65" s="128" t="n"/>
      <c r="G65" s="2" t="n"/>
      <c r="H65" s="2" t="n"/>
      <c r="I65" s="2" t="n"/>
      <c r="J65" s="2" t="n"/>
    </row>
    <row r="66">
      <c r="A66" s="2" t="n"/>
      <c r="B66" s="84" t="n"/>
      <c r="C66" s="78" t="n"/>
      <c r="D66" s="78" t="n"/>
      <c r="E66" s="78" t="n"/>
      <c r="F66" s="128" t="n"/>
      <c r="G66" s="2" t="n"/>
      <c r="H66" s="2" t="n"/>
      <c r="I66" s="2" t="n"/>
      <c r="J66" s="2" t="n"/>
    </row>
    <row r="67">
      <c r="A67" s="2" t="n"/>
      <c r="B67" s="84" t="n"/>
      <c r="C67" s="78" t="n"/>
      <c r="D67" s="78" t="n"/>
      <c r="E67" s="78" t="n"/>
      <c r="F67" s="128" t="n"/>
      <c r="G67" s="2" t="n"/>
      <c r="H67" s="2" t="n"/>
      <c r="I67" s="2" t="n"/>
      <c r="J67" s="2" t="n"/>
    </row>
    <row r="68">
      <c r="A68" s="2" t="n"/>
      <c r="B68" s="84" t="n"/>
      <c r="C68" s="78" t="n"/>
      <c r="D68" s="78" t="n"/>
      <c r="E68" s="78" t="n"/>
      <c r="F68" s="128" t="n"/>
      <c r="G68" s="2" t="n"/>
      <c r="H68" s="2" t="n"/>
      <c r="I68" s="2" t="n"/>
      <c r="J68" s="2" t="n"/>
    </row>
    <row r="69">
      <c r="A69" s="2" t="n"/>
      <c r="B69" s="84" t="n"/>
      <c r="C69" s="78" t="n"/>
      <c r="D69" s="78" t="n"/>
      <c r="E69" s="78" t="n"/>
      <c r="F69" s="128" t="n"/>
      <c r="G69" s="2" t="n"/>
      <c r="H69" s="2" t="n"/>
      <c r="I69" s="2" t="n"/>
      <c r="J69" s="2" t="n"/>
    </row>
    <row r="70">
      <c r="A70" s="2" t="n"/>
      <c r="B70" s="84" t="n"/>
      <c r="C70" s="78" t="n"/>
      <c r="D70" s="78" t="n"/>
      <c r="E70" s="78" t="n"/>
      <c r="F70" s="128" t="n"/>
      <c r="G70" s="2" t="n"/>
      <c r="H70" s="2" t="n"/>
      <c r="I70" s="2" t="n"/>
      <c r="J70" s="2" t="n"/>
    </row>
    <row r="71">
      <c r="A71" s="2" t="n"/>
      <c r="B71" s="84" t="n"/>
      <c r="C71" s="78" t="n"/>
      <c r="D71" s="78" t="n"/>
      <c r="E71" s="78" t="n"/>
      <c r="F71" s="128" t="n"/>
      <c r="G71" s="2" t="n"/>
      <c r="H71" s="2" t="n"/>
      <c r="I71" s="2" t="n"/>
      <c r="J71" s="2" t="n"/>
    </row>
    <row r="72">
      <c r="A72" s="2" t="n"/>
      <c r="B72" s="84" t="n"/>
      <c r="C72" s="78" t="n"/>
      <c r="D72" s="78" t="n"/>
      <c r="E72" s="78" t="n"/>
      <c r="F72" s="128" t="n"/>
      <c r="G72" s="2" t="n"/>
      <c r="H72" s="2" t="n"/>
      <c r="I72" s="2" t="n"/>
      <c r="J72" s="2" t="n"/>
    </row>
    <row r="73">
      <c r="A73" s="2" t="n"/>
      <c r="B73" s="84" t="n"/>
      <c r="C73" s="78" t="n"/>
      <c r="D73" s="78" t="n"/>
      <c r="E73" s="78" t="n"/>
      <c r="F73" s="128" t="n"/>
      <c r="G73" s="2" t="n"/>
      <c r="H73" s="2" t="n"/>
      <c r="I73" s="2" t="n"/>
      <c r="J73" s="2" t="n"/>
    </row>
    <row r="74">
      <c r="A74" s="2" t="n"/>
      <c r="B74" s="84" t="n"/>
      <c r="C74" s="78" t="n"/>
      <c r="D74" s="78" t="n"/>
      <c r="E74" s="78" t="n"/>
      <c r="F74" s="128" t="n"/>
      <c r="G74" s="2" t="n"/>
      <c r="H74" s="2" t="n"/>
      <c r="I74" s="2" t="n"/>
      <c r="J74" s="2" t="n"/>
    </row>
    <row r="75">
      <c r="A75" s="2" t="n"/>
      <c r="B75" s="84" t="n"/>
      <c r="C75" s="78" t="n"/>
      <c r="D75" s="78" t="n"/>
      <c r="E75" s="78" t="n"/>
      <c r="F75" s="128" t="n"/>
      <c r="G75" s="2" t="n"/>
      <c r="H75" s="2" t="n"/>
      <c r="I75" s="2" t="n"/>
      <c r="J75" s="2" t="n"/>
    </row>
    <row r="76">
      <c r="A76" s="2" t="n"/>
      <c r="B76" s="84" t="n"/>
      <c r="C76" s="78" t="n"/>
      <c r="D76" s="78" t="n"/>
      <c r="E76" s="78" t="n"/>
      <c r="F76" s="128" t="n"/>
      <c r="G76" s="2" t="n"/>
      <c r="H76" s="2" t="n"/>
      <c r="I76" s="2" t="n"/>
      <c r="J76" s="2" t="n"/>
    </row>
    <row r="77">
      <c r="A77" s="2" t="n"/>
      <c r="B77" s="84" t="n"/>
      <c r="C77" s="78" t="n"/>
      <c r="D77" s="78" t="n"/>
      <c r="E77" s="78" t="n"/>
      <c r="F77" s="128" t="n"/>
      <c r="G77" s="2" t="n"/>
      <c r="H77" s="2" t="n"/>
      <c r="I77" s="2" t="n"/>
      <c r="J77" s="2" t="n"/>
    </row>
    <row r="78">
      <c r="A78" s="2" t="n"/>
      <c r="B78" s="84" t="n"/>
      <c r="C78" s="78" t="n"/>
      <c r="D78" s="78" t="n"/>
      <c r="E78" s="78" t="n"/>
      <c r="F78" s="128" t="n"/>
      <c r="G78" s="2" t="n"/>
      <c r="H78" s="2" t="n"/>
      <c r="I78" s="2" t="n"/>
      <c r="J78" s="2" t="n"/>
    </row>
    <row r="79">
      <c r="A79" s="2" t="n"/>
      <c r="B79" s="84" t="n"/>
      <c r="C79" s="78" t="n"/>
      <c r="D79" s="78" t="n"/>
      <c r="E79" s="78" t="n"/>
      <c r="F79" s="128" t="n"/>
      <c r="G79" s="2" t="n"/>
      <c r="H79" s="2" t="n"/>
      <c r="I79" s="2" t="n"/>
      <c r="J79" s="2" t="n"/>
    </row>
    <row r="80">
      <c r="A80" s="2" t="n"/>
      <c r="B80" s="84" t="n"/>
      <c r="C80" s="78" t="n"/>
      <c r="D80" s="78" t="n"/>
      <c r="E80" s="78" t="n"/>
      <c r="F80" s="128" t="n"/>
      <c r="G80" s="2" t="n"/>
      <c r="H80" s="2" t="n"/>
      <c r="I80" s="2" t="n"/>
      <c r="J80" s="2" t="n"/>
    </row>
    <row r="81">
      <c r="A81" s="2" t="n"/>
      <c r="B81" s="84" t="n"/>
      <c r="C81" s="78" t="n"/>
      <c r="D81" s="78" t="n"/>
      <c r="E81" s="78" t="n"/>
      <c r="F81" s="128" t="n"/>
      <c r="G81" s="2" t="n"/>
      <c r="H81" s="2" t="n"/>
      <c r="I81" s="2" t="n"/>
      <c r="J81" s="2" t="n"/>
    </row>
    <row r="82">
      <c r="A82" s="2" t="n"/>
      <c r="B82" s="84" t="n"/>
      <c r="C82" s="78" t="n"/>
      <c r="D82" s="78" t="n"/>
      <c r="E82" s="78" t="n"/>
      <c r="F82" s="128" t="n"/>
      <c r="G82" s="2" t="n"/>
      <c r="H82" s="2" t="n"/>
      <c r="I82" s="2" t="n"/>
      <c r="J82" s="2" t="n"/>
    </row>
    <row r="83">
      <c r="A83" s="2" t="n"/>
      <c r="B83" s="84" t="n"/>
      <c r="C83" s="78" t="n"/>
      <c r="D83" s="78" t="n"/>
      <c r="E83" s="78" t="n"/>
      <c r="F83" s="128" t="n"/>
      <c r="G83" s="2" t="n"/>
      <c r="H83" s="2" t="n"/>
      <c r="I83" s="2" t="n"/>
      <c r="J83" s="2" t="n"/>
    </row>
    <row r="84">
      <c r="A84" s="2" t="n"/>
      <c r="B84" s="84" t="n"/>
      <c r="C84" s="78" t="n"/>
      <c r="D84" s="78" t="n"/>
      <c r="E84" s="78" t="n"/>
      <c r="F84" s="128" t="n"/>
      <c r="G84" s="2" t="n"/>
      <c r="H84" s="2" t="n"/>
      <c r="I84" s="2" t="n"/>
      <c r="J84" s="2" t="n"/>
    </row>
    <row r="85">
      <c r="A85" s="2" t="n"/>
      <c r="B85" s="84" t="n"/>
      <c r="C85" s="78" t="n"/>
      <c r="D85" s="78" t="n"/>
      <c r="E85" s="78" t="n"/>
      <c r="F85" s="128" t="n"/>
      <c r="G85" s="2" t="n"/>
      <c r="H85" s="2" t="n"/>
      <c r="I85" s="2" t="n"/>
      <c r="J85" s="2" t="n"/>
    </row>
    <row r="86">
      <c r="A86" s="2" t="n"/>
      <c r="B86" s="84" t="n"/>
      <c r="C86" s="78" t="n"/>
      <c r="D86" s="78" t="n"/>
      <c r="E86" s="78" t="n"/>
      <c r="F86" s="128" t="n"/>
      <c r="G86" s="2" t="n"/>
      <c r="H86" s="2" t="n"/>
      <c r="I86" s="2" t="n"/>
      <c r="J86" s="2" t="n"/>
    </row>
    <row r="87">
      <c r="A87" s="2" t="n"/>
      <c r="B87" s="84" t="n"/>
      <c r="C87" s="78" t="n"/>
      <c r="D87" s="78" t="n"/>
      <c r="E87" s="78" t="n"/>
      <c r="F87" s="128" t="n"/>
      <c r="G87" s="2" t="n"/>
      <c r="H87" s="2" t="n"/>
      <c r="I87" s="2" t="n"/>
      <c r="J87" s="2" t="n"/>
    </row>
    <row r="88">
      <c r="A88" s="2" t="n"/>
      <c r="B88" s="84" t="n"/>
      <c r="C88" s="78" t="n"/>
      <c r="D88" s="78" t="n"/>
      <c r="E88" s="78" t="n"/>
      <c r="F88" s="128" t="n"/>
      <c r="G88" s="2" t="n"/>
      <c r="H88" s="2" t="n"/>
      <c r="I88" s="2" t="n"/>
      <c r="J88" s="2" t="n"/>
    </row>
    <row r="89">
      <c r="A89" s="2" t="n"/>
      <c r="B89" s="84" t="n"/>
      <c r="C89" s="78" t="n"/>
      <c r="D89" s="78" t="n"/>
      <c r="E89" s="78" t="n"/>
      <c r="F89" s="128" t="n"/>
      <c r="G89" s="2" t="n"/>
      <c r="H89" s="2" t="n"/>
      <c r="I89" s="2" t="n"/>
      <c r="J89" s="2" t="n"/>
    </row>
    <row r="90">
      <c r="A90" s="2" t="n"/>
      <c r="B90" s="84" t="n"/>
      <c r="C90" s="78" t="n"/>
      <c r="D90" s="78" t="n"/>
      <c r="E90" s="78" t="n"/>
      <c r="F90" s="128" t="n"/>
      <c r="G90" s="2" t="n"/>
      <c r="H90" s="2" t="n"/>
      <c r="I90" s="2" t="n"/>
      <c r="J90" s="2" t="n"/>
    </row>
    <row r="91">
      <c r="A91" s="2" t="n"/>
      <c r="B91" s="84" t="n"/>
      <c r="C91" s="78" t="n"/>
      <c r="D91" s="78" t="n"/>
      <c r="E91" s="78" t="n"/>
      <c r="F91" s="128" t="n"/>
      <c r="G91" s="2" t="n"/>
      <c r="H91" s="2" t="n"/>
      <c r="I91" s="2" t="n"/>
      <c r="J91" s="2" t="n"/>
    </row>
    <row r="92">
      <c r="A92" s="2" t="n"/>
      <c r="B92" s="84" t="n"/>
      <c r="C92" s="78" t="n"/>
      <c r="D92" s="78" t="n"/>
      <c r="E92" s="78" t="n"/>
      <c r="F92" s="128" t="n"/>
      <c r="G92" s="2" t="n"/>
      <c r="H92" s="2" t="n"/>
      <c r="I92" s="2" t="n"/>
      <c r="J92" s="2" t="n"/>
    </row>
    <row r="93">
      <c r="A93" s="2" t="n"/>
      <c r="B93" s="84" t="n"/>
      <c r="C93" s="78" t="n"/>
      <c r="D93" s="78" t="n"/>
      <c r="E93" s="78" t="n"/>
      <c r="F93" s="128" t="n"/>
      <c r="G93" s="2" t="n"/>
      <c r="H93" s="2" t="n"/>
      <c r="I93" s="2" t="n"/>
      <c r="J93" s="2" t="n"/>
    </row>
    <row r="94">
      <c r="A94" s="2" t="n"/>
      <c r="B94" s="84" t="n"/>
      <c r="C94" s="78" t="n"/>
      <c r="D94" s="78" t="n"/>
      <c r="E94" s="78" t="n"/>
      <c r="F94" s="128" t="n"/>
      <c r="G94" s="2" t="n"/>
      <c r="H94" s="2" t="n"/>
      <c r="I94" s="2" t="n"/>
      <c r="J94" s="2" t="n"/>
    </row>
    <row r="95">
      <c r="A95" s="2" t="n"/>
      <c r="B95" s="84" t="n"/>
      <c r="C95" s="78" t="n"/>
      <c r="D95" s="78" t="n"/>
      <c r="E95" s="78" t="n"/>
      <c r="F95" s="128" t="n"/>
      <c r="G95" s="2" t="n"/>
      <c r="H95" s="2" t="n"/>
      <c r="I95" s="2" t="n"/>
      <c r="J95" s="2" t="n"/>
    </row>
    <row r="96">
      <c r="A96" s="2" t="n"/>
      <c r="B96" s="84" t="n"/>
      <c r="C96" s="78" t="n"/>
      <c r="D96" s="78" t="n"/>
      <c r="E96" s="78" t="n"/>
      <c r="F96" s="128" t="n"/>
      <c r="G96" s="2" t="n"/>
      <c r="H96" s="2" t="n"/>
      <c r="I96" s="2" t="n"/>
      <c r="J96" s="2" t="n"/>
    </row>
    <row r="97">
      <c r="A97" s="2" t="n"/>
      <c r="B97" s="84" t="n"/>
      <c r="C97" s="78" t="n"/>
      <c r="D97" s="78" t="n"/>
      <c r="E97" s="78" t="n"/>
      <c r="F97" s="128" t="n"/>
      <c r="G97" s="2" t="n"/>
      <c r="H97" s="2" t="n"/>
      <c r="I97" s="2" t="n"/>
      <c r="J97" s="2" t="n"/>
    </row>
    <row r="98">
      <c r="A98" s="2" t="n"/>
      <c r="B98" s="84" t="n"/>
      <c r="C98" s="78" t="n"/>
      <c r="D98" s="78" t="n"/>
      <c r="E98" s="78" t="n"/>
      <c r="F98" s="128" t="n"/>
      <c r="G98" s="2" t="n"/>
      <c r="H98" s="2" t="n"/>
      <c r="I98" s="2" t="n"/>
      <c r="J98" s="2" t="n"/>
    </row>
    <row r="99">
      <c r="A99" s="2" t="n"/>
      <c r="B99" s="84" t="n"/>
      <c r="C99" s="78" t="n"/>
      <c r="D99" s="78" t="n"/>
      <c r="E99" s="78" t="n"/>
      <c r="F99" s="128" t="n"/>
      <c r="G99" s="2" t="n"/>
      <c r="H99" s="2" t="n"/>
      <c r="I99" s="2" t="n"/>
      <c r="J99" s="2" t="n"/>
    </row>
    <row r="100">
      <c r="A100" s="2" t="n"/>
      <c r="B100" s="84" t="n"/>
      <c r="C100" s="78" t="n"/>
      <c r="D100" s="78" t="n"/>
      <c r="E100" s="78" t="n"/>
      <c r="F100" s="128" t="n"/>
      <c r="G100" s="2" t="n"/>
      <c r="H100" s="2" t="n"/>
      <c r="I100" s="2" t="n"/>
      <c r="J100" s="2" t="n"/>
    </row>
    <row r="101">
      <c r="A101" s="2" t="n"/>
      <c r="B101" s="84" t="n"/>
      <c r="C101" s="78" t="n"/>
      <c r="D101" s="78" t="n"/>
      <c r="E101" s="78" t="n"/>
      <c r="F101" s="128" t="n"/>
      <c r="G101" s="2" t="n"/>
      <c r="H101" s="2" t="n"/>
      <c r="I101" s="2" t="n"/>
      <c r="J101" s="2" t="n"/>
    </row>
    <row r="102">
      <c r="A102" s="2" t="n"/>
      <c r="B102" s="84" t="n"/>
      <c r="C102" s="78" t="n"/>
      <c r="D102" s="78" t="n"/>
      <c r="E102" s="78" t="n"/>
      <c r="F102" s="128" t="n"/>
      <c r="G102" s="2" t="n"/>
      <c r="H102" s="2" t="n"/>
      <c r="I102" s="2" t="n"/>
      <c r="J102" s="2" t="n"/>
    </row>
    <row r="103">
      <c r="A103" s="2" t="n"/>
      <c r="B103" s="84" t="n"/>
      <c r="C103" s="78" t="n"/>
      <c r="D103" s="78" t="n"/>
      <c r="E103" s="78" t="n"/>
      <c r="F103" s="128" t="n"/>
      <c r="G103" s="2" t="n"/>
      <c r="H103" s="2" t="n"/>
      <c r="I103" s="2" t="n"/>
      <c r="J103" s="2" t="n"/>
    </row>
    <row r="104">
      <c r="A104" s="2" t="n"/>
      <c r="B104" s="84" t="n"/>
      <c r="C104" s="78" t="n"/>
      <c r="D104" s="78" t="n"/>
      <c r="E104" s="78" t="n"/>
      <c r="F104" s="128" t="n"/>
      <c r="G104" s="2" t="n"/>
      <c r="H104" s="2" t="n"/>
      <c r="I104" s="2" t="n"/>
      <c r="J104" s="2" t="n"/>
    </row>
    <row r="105">
      <c r="A105" s="2" t="n"/>
      <c r="B105" s="84" t="n"/>
      <c r="C105" s="78" t="n"/>
      <c r="D105" s="78" t="n"/>
      <c r="E105" s="78" t="n"/>
      <c r="F105" s="128" t="n"/>
      <c r="G105" s="2" t="n"/>
      <c r="H105" s="2" t="n"/>
      <c r="I105" s="2" t="n"/>
      <c r="J105" s="2" t="n"/>
    </row>
    <row r="106">
      <c r="A106" s="2" t="n"/>
      <c r="B106" s="84" t="n"/>
      <c r="C106" s="78" t="n"/>
      <c r="D106" s="78" t="n"/>
      <c r="E106" s="78" t="n"/>
      <c r="F106" s="128" t="n"/>
      <c r="G106" s="2" t="n"/>
      <c r="H106" s="2" t="n"/>
      <c r="I106" s="2" t="n"/>
      <c r="J106" s="2" t="n"/>
    </row>
    <row r="107">
      <c r="A107" s="2" t="n"/>
      <c r="B107" s="84" t="n"/>
      <c r="C107" s="78" t="n"/>
      <c r="D107" s="78" t="n"/>
      <c r="E107" s="78" t="n"/>
      <c r="F107" s="128" t="n"/>
      <c r="G107" s="2" t="n"/>
      <c r="H107" s="2" t="n"/>
      <c r="I107" s="2" t="n"/>
      <c r="J107" s="2" t="n"/>
    </row>
    <row r="108">
      <c r="A108" s="2" t="n"/>
      <c r="B108" s="84" t="n"/>
      <c r="C108" s="78" t="n"/>
      <c r="D108" s="78" t="n"/>
      <c r="E108" s="78" t="n"/>
      <c r="F108" s="128" t="n"/>
      <c r="G108" s="2" t="n"/>
      <c r="H108" s="2" t="n"/>
      <c r="I108" s="2" t="n"/>
      <c r="J108" s="2" t="n"/>
    </row>
    <row r="109">
      <c r="A109" s="2" t="n"/>
      <c r="B109" s="84" t="n"/>
      <c r="C109" s="78" t="n"/>
      <c r="D109" s="78" t="n"/>
      <c r="E109" s="78" t="n"/>
      <c r="F109" s="128" t="n"/>
      <c r="G109" s="2" t="n"/>
      <c r="H109" s="2" t="n"/>
      <c r="I109" s="2" t="n"/>
      <c r="J109" s="2" t="n"/>
    </row>
    <row r="110">
      <c r="A110" s="2" t="n"/>
      <c r="B110" s="84" t="n"/>
      <c r="C110" s="78" t="n"/>
      <c r="D110" s="78" t="n"/>
      <c r="E110" s="78" t="n"/>
      <c r="F110" s="128" t="n"/>
      <c r="G110" s="2" t="n"/>
      <c r="H110" s="2" t="n"/>
      <c r="I110" s="2" t="n"/>
      <c r="J110" s="2" t="n"/>
    </row>
    <row r="111">
      <c r="A111" s="2" t="n"/>
      <c r="B111" s="84" t="n"/>
      <c r="C111" s="78" t="n"/>
      <c r="D111" s="78" t="n"/>
      <c r="E111" s="78" t="n"/>
      <c r="F111" s="128" t="n"/>
      <c r="G111" s="2" t="n"/>
      <c r="H111" s="2" t="n"/>
      <c r="I111" s="2" t="n"/>
      <c r="J111" s="2" t="n"/>
    </row>
    <row r="112">
      <c r="A112" s="2" t="n"/>
      <c r="B112" s="84" t="n"/>
      <c r="C112" s="78" t="n"/>
      <c r="D112" s="78" t="n"/>
      <c r="E112" s="78" t="n"/>
      <c r="F112" s="128" t="n"/>
      <c r="G112" s="2" t="n"/>
      <c r="H112" s="2" t="n"/>
      <c r="I112" s="2" t="n"/>
      <c r="J112" s="2" t="n"/>
    </row>
    <row r="113">
      <c r="A113" s="2" t="n"/>
      <c r="B113" s="84" t="n"/>
      <c r="C113" s="78" t="n"/>
      <c r="D113" s="78" t="n"/>
      <c r="E113" s="78" t="n"/>
      <c r="F113" s="128" t="n"/>
      <c r="G113" s="2" t="n"/>
      <c r="H113" s="2" t="n"/>
      <c r="I113" s="2" t="n"/>
      <c r="J113" s="2" t="n"/>
    </row>
    <row r="114">
      <c r="A114" s="2" t="n"/>
      <c r="B114" s="84" t="n"/>
      <c r="C114" s="78" t="n"/>
      <c r="D114" s="78" t="n"/>
      <c r="E114" s="78" t="n"/>
      <c r="F114" s="128" t="n"/>
      <c r="G114" s="2" t="n"/>
      <c r="H114" s="2" t="n"/>
      <c r="I114" s="2" t="n"/>
      <c r="J114" s="2" t="n"/>
    </row>
    <row r="115">
      <c r="A115" s="2" t="n"/>
      <c r="B115" s="84" t="n"/>
      <c r="C115" s="78" t="n"/>
      <c r="D115" s="78" t="n"/>
      <c r="E115" s="78" t="n"/>
      <c r="F115" s="128" t="n"/>
      <c r="G115" s="2" t="n"/>
      <c r="H115" s="2" t="n"/>
      <c r="I115" s="2" t="n"/>
      <c r="J115" s="2" t="n"/>
    </row>
    <row r="116">
      <c r="A116" s="2" t="n"/>
      <c r="B116" s="84" t="n"/>
      <c r="C116" s="78" t="n"/>
      <c r="D116" s="78" t="n"/>
      <c r="E116" s="78" t="n"/>
      <c r="F116" s="128" t="n"/>
      <c r="G116" s="2" t="n"/>
      <c r="H116" s="2" t="n"/>
      <c r="I116" s="2" t="n"/>
      <c r="J116" s="2" t="n"/>
    </row>
    <row r="117">
      <c r="A117" s="2" t="n"/>
      <c r="B117" s="84" t="n"/>
      <c r="C117" s="78" t="n"/>
      <c r="D117" s="78" t="n"/>
      <c r="E117" s="78" t="n"/>
      <c r="F117" s="128" t="n"/>
      <c r="G117" s="2" t="n"/>
      <c r="H117" s="2" t="n"/>
      <c r="I117" s="2" t="n"/>
      <c r="J117" s="2" t="n"/>
    </row>
    <row r="118">
      <c r="A118" s="2" t="n"/>
      <c r="B118" s="84" t="n"/>
      <c r="C118" s="78" t="n"/>
      <c r="D118" s="78" t="n"/>
      <c r="E118" s="78" t="n"/>
      <c r="F118" s="128" t="n"/>
      <c r="G118" s="2" t="n"/>
      <c r="H118" s="2" t="n"/>
      <c r="I118" s="2" t="n"/>
      <c r="J118" s="2" t="n"/>
    </row>
    <row r="119">
      <c r="A119" s="2" t="n"/>
      <c r="B119" s="84" t="n"/>
      <c r="C119" s="78" t="n"/>
      <c r="D119" s="78" t="n"/>
      <c r="E119" s="78" t="n"/>
      <c r="F119" s="128" t="n"/>
      <c r="G119" s="2" t="n"/>
      <c r="H119" s="2" t="n"/>
      <c r="I119" s="2" t="n"/>
      <c r="J119" s="2" t="n"/>
    </row>
    <row r="120">
      <c r="A120" s="2" t="n"/>
      <c r="B120" s="84" t="n"/>
      <c r="C120" s="78" t="n"/>
      <c r="D120" s="78" t="n"/>
      <c r="E120" s="78" t="n"/>
      <c r="F120" s="128" t="n"/>
      <c r="G120" s="2" t="n"/>
      <c r="H120" s="2" t="n"/>
      <c r="I120" s="2" t="n"/>
      <c r="J120" s="2" t="n"/>
    </row>
    <row r="121">
      <c r="A121" s="2" t="n"/>
      <c r="B121" s="84" t="n"/>
      <c r="C121" s="78" t="n"/>
      <c r="D121" s="78" t="n"/>
      <c r="E121" s="78" t="n"/>
      <c r="F121" s="128" t="n"/>
      <c r="G121" s="2" t="n"/>
      <c r="H121" s="2" t="n"/>
      <c r="I121" s="2" t="n"/>
      <c r="J121" s="2" t="n"/>
    </row>
    <row r="122">
      <c r="A122" s="2" t="n"/>
      <c r="B122" s="84" t="n"/>
      <c r="C122" s="78" t="n"/>
      <c r="D122" s="78" t="n"/>
      <c r="E122" s="78" t="n"/>
      <c r="F122" s="128" t="n"/>
      <c r="G122" s="2" t="n"/>
      <c r="H122" s="2" t="n"/>
      <c r="I122" s="2" t="n"/>
      <c r="J122" s="2" t="n"/>
    </row>
    <row r="123">
      <c r="A123" s="2" t="n"/>
      <c r="B123" s="84" t="n"/>
      <c r="C123" s="78" t="n"/>
      <c r="D123" s="78" t="n"/>
      <c r="E123" s="78" t="n"/>
      <c r="F123" s="128" t="n"/>
      <c r="G123" s="2" t="n"/>
      <c r="H123" s="2" t="n"/>
      <c r="I123" s="2" t="n"/>
      <c r="J123" s="2" t="n"/>
    </row>
    <row r="124">
      <c r="A124" s="2" t="n"/>
      <c r="B124" s="84" t="n"/>
      <c r="C124" s="78" t="n"/>
      <c r="D124" s="78" t="n"/>
      <c r="E124" s="78" t="n"/>
      <c r="F124" s="128" t="n"/>
      <c r="G124" s="2" t="n"/>
      <c r="H124" s="2" t="n"/>
      <c r="I124" s="2" t="n"/>
      <c r="J124" s="2" t="n"/>
    </row>
    <row r="125">
      <c r="A125" s="2" t="n"/>
      <c r="B125" s="84" t="n"/>
      <c r="C125" s="78" t="n"/>
      <c r="D125" s="78" t="n"/>
      <c r="E125" s="78" t="n"/>
      <c r="F125" s="128" t="n"/>
      <c r="G125" s="2" t="n"/>
      <c r="H125" s="2" t="n"/>
      <c r="I125" s="2" t="n"/>
      <c r="J125" s="2" t="n"/>
    </row>
    <row r="126">
      <c r="A126" s="2" t="n"/>
      <c r="B126" s="84" t="n"/>
      <c r="C126" s="78" t="n"/>
      <c r="D126" s="78" t="n"/>
      <c r="E126" s="78" t="n"/>
      <c r="F126" s="128" t="n"/>
      <c r="G126" s="2" t="n"/>
      <c r="H126" s="2" t="n"/>
      <c r="I126" s="2" t="n"/>
      <c r="J126" s="2" t="n"/>
    </row>
    <row r="127">
      <c r="A127" s="2" t="n"/>
      <c r="B127" s="84" t="n"/>
      <c r="C127" s="78" t="n"/>
      <c r="D127" s="78" t="n"/>
      <c r="E127" s="78" t="n"/>
      <c r="F127" s="128" t="n"/>
      <c r="G127" s="2" t="n"/>
      <c r="H127" s="2" t="n"/>
      <c r="I127" s="2" t="n"/>
      <c r="J127" s="2" t="n"/>
    </row>
    <row r="128">
      <c r="A128" s="2" t="n"/>
      <c r="B128" s="84" t="n"/>
      <c r="C128" s="78" t="n"/>
      <c r="D128" s="78" t="n"/>
      <c r="E128" s="78" t="n"/>
      <c r="F128" s="128" t="n"/>
      <c r="G128" s="2" t="n"/>
      <c r="H128" s="2" t="n"/>
      <c r="I128" s="2" t="n"/>
      <c r="J128" s="2" t="n"/>
    </row>
    <row r="129">
      <c r="A129" s="2" t="n"/>
      <c r="B129" s="84" t="n"/>
      <c r="C129" s="78" t="n"/>
      <c r="D129" s="78" t="n"/>
      <c r="E129" s="78" t="n"/>
      <c r="F129" s="128" t="n"/>
      <c r="G129" s="2" t="n"/>
      <c r="H129" s="2" t="n"/>
      <c r="I129" s="2" t="n"/>
      <c r="J129" s="2" t="n"/>
    </row>
    <row r="130">
      <c r="A130" s="2" t="n"/>
      <c r="B130" s="84" t="n"/>
      <c r="C130" s="78" t="n"/>
      <c r="D130" s="78" t="n"/>
      <c r="E130" s="78" t="n"/>
      <c r="F130" s="128" t="n"/>
      <c r="G130" s="2" t="n"/>
      <c r="H130" s="2" t="n"/>
      <c r="I130" s="2" t="n"/>
      <c r="J130" s="2" t="n"/>
    </row>
    <row r="131">
      <c r="A131" s="2" t="n"/>
      <c r="B131" s="84" t="n"/>
      <c r="C131" s="78" t="n"/>
      <c r="D131" s="78" t="n"/>
      <c r="E131" s="78" t="n"/>
      <c r="F131" s="128" t="n"/>
      <c r="G131" s="2" t="n"/>
      <c r="H131" s="2" t="n"/>
      <c r="I131" s="2" t="n"/>
      <c r="J131" s="2" t="n"/>
    </row>
    <row r="132">
      <c r="A132" s="2" t="n"/>
      <c r="B132" s="84" t="n"/>
      <c r="C132" s="78" t="n"/>
      <c r="D132" s="78" t="n"/>
      <c r="E132" s="78" t="n"/>
      <c r="F132" s="128" t="n"/>
      <c r="G132" s="2" t="n"/>
      <c r="H132" s="2" t="n"/>
      <c r="I132" s="2" t="n"/>
      <c r="J132" s="2" t="n"/>
    </row>
    <row r="133">
      <c r="A133" s="2" t="n"/>
      <c r="B133" s="84" t="n"/>
      <c r="C133" s="78" t="n"/>
      <c r="D133" s="78" t="n"/>
      <c r="E133" s="78" t="n"/>
      <c r="F133" s="128" t="n"/>
      <c r="G133" s="2" t="n"/>
      <c r="H133" s="2" t="n"/>
      <c r="I133" s="2" t="n"/>
      <c r="J133" s="2" t="n"/>
    </row>
    <row r="134">
      <c r="A134" s="2" t="n"/>
      <c r="B134" s="84" t="n"/>
      <c r="C134" s="78" t="n"/>
      <c r="D134" s="78" t="n"/>
      <c r="E134" s="78" t="n"/>
      <c r="F134" s="128" t="n"/>
      <c r="G134" s="2" t="n"/>
      <c r="H134" s="2" t="n"/>
      <c r="I134" s="2" t="n"/>
      <c r="J134" s="2" t="n"/>
    </row>
    <row r="135">
      <c r="A135" s="2" t="n"/>
      <c r="B135" s="84" t="n"/>
      <c r="C135" s="78" t="n"/>
      <c r="D135" s="78" t="n"/>
      <c r="E135" s="78" t="n"/>
      <c r="F135" s="128" t="n"/>
      <c r="G135" s="2" t="n"/>
      <c r="H135" s="2" t="n"/>
      <c r="I135" s="2" t="n"/>
      <c r="J135" s="2" t="n"/>
    </row>
    <row r="136">
      <c r="A136" s="2" t="n"/>
      <c r="B136" s="84" t="n"/>
      <c r="C136" s="78" t="n"/>
      <c r="D136" s="78" t="n"/>
      <c r="E136" s="78" t="n"/>
      <c r="F136" s="128" t="n"/>
      <c r="G136" s="2" t="n"/>
      <c r="H136" s="2" t="n"/>
      <c r="I136" s="2" t="n"/>
      <c r="J136" s="2" t="n"/>
    </row>
    <row r="137">
      <c r="A137" s="2" t="n"/>
      <c r="B137" s="84" t="n"/>
      <c r="C137" s="78" t="n"/>
      <c r="D137" s="78" t="n"/>
      <c r="E137" s="78" t="n"/>
      <c r="F137" s="128" t="n"/>
      <c r="G137" s="2" t="n"/>
      <c r="H137" s="2" t="n"/>
      <c r="I137" s="2" t="n"/>
      <c r="J137" s="2" t="n"/>
    </row>
    <row r="138">
      <c r="A138" s="2" t="n"/>
      <c r="B138" s="84" t="n"/>
      <c r="C138" s="78" t="n"/>
      <c r="D138" s="78" t="n"/>
      <c r="E138" s="78" t="n"/>
      <c r="F138" s="128" t="n"/>
      <c r="G138" s="2" t="n"/>
      <c r="H138" s="2" t="n"/>
      <c r="I138" s="2" t="n"/>
      <c r="J138" s="2" t="n"/>
    </row>
    <row r="139">
      <c r="A139" s="2" t="n"/>
      <c r="B139" s="84" t="n"/>
      <c r="C139" s="78" t="n"/>
      <c r="D139" s="78" t="n"/>
      <c r="E139" s="78" t="n"/>
      <c r="F139" s="128" t="n"/>
      <c r="G139" s="2" t="n"/>
      <c r="H139" s="2" t="n"/>
      <c r="I139" s="2" t="n"/>
      <c r="J139" s="2" t="n"/>
    </row>
    <row r="140">
      <c r="A140" s="2" t="n"/>
      <c r="B140" s="84" t="n"/>
      <c r="C140" s="78" t="n"/>
      <c r="D140" s="78" t="n"/>
      <c r="E140" s="78" t="n"/>
      <c r="F140" s="128" t="n"/>
      <c r="G140" s="2" t="n"/>
      <c r="H140" s="2" t="n"/>
      <c r="I140" s="2" t="n"/>
      <c r="J140" s="2" t="n"/>
    </row>
    <row r="141">
      <c r="A141" s="2" t="n"/>
      <c r="B141" s="84" t="n"/>
      <c r="C141" s="78" t="n"/>
      <c r="D141" s="78" t="n"/>
      <c r="E141" s="78" t="n"/>
      <c r="F141" s="128" t="n"/>
      <c r="G141" s="2" t="n"/>
      <c r="H141" s="2" t="n"/>
      <c r="I141" s="2" t="n"/>
      <c r="J141" s="2" t="n"/>
    </row>
    <row r="142">
      <c r="A142" s="2" t="n"/>
      <c r="B142" s="84" t="n"/>
      <c r="C142" s="78" t="n"/>
      <c r="D142" s="78" t="n"/>
      <c r="E142" s="78" t="n"/>
      <c r="F142" s="128" t="n"/>
      <c r="G142" s="2" t="n"/>
      <c r="H142" s="2" t="n"/>
      <c r="I142" s="2" t="n"/>
      <c r="J142" s="2" t="n"/>
    </row>
    <row r="143">
      <c r="A143" s="2" t="n"/>
      <c r="B143" s="84" t="n"/>
      <c r="C143" s="78" t="n"/>
      <c r="D143" s="78" t="n"/>
      <c r="E143" s="78" t="n"/>
      <c r="F143" s="128" t="n"/>
      <c r="G143" s="2" t="n"/>
      <c r="H143" s="2" t="n"/>
      <c r="I143" s="2" t="n"/>
      <c r="J143" s="2" t="n"/>
    </row>
    <row r="144">
      <c r="A144" s="2" t="n"/>
      <c r="B144" s="84" t="n"/>
      <c r="C144" s="78" t="n"/>
      <c r="D144" s="78" t="n"/>
      <c r="E144" s="78" t="n"/>
      <c r="F144" s="128" t="n"/>
      <c r="G144" s="2" t="n"/>
      <c r="H144" s="2" t="n"/>
      <c r="I144" s="2" t="n"/>
      <c r="J144" s="2" t="n"/>
    </row>
    <row r="145">
      <c r="A145" s="2" t="n"/>
      <c r="B145" s="84" t="n"/>
      <c r="C145" s="78" t="n"/>
      <c r="D145" s="78" t="n"/>
      <c r="E145" s="78" t="n"/>
      <c r="F145" s="128" t="n"/>
      <c r="G145" s="2" t="n"/>
      <c r="H145" s="2" t="n"/>
      <c r="I145" s="2" t="n"/>
      <c r="J145" s="2" t="n"/>
    </row>
    <row r="146">
      <c r="A146" s="2" t="n"/>
      <c r="B146" s="84" t="n"/>
      <c r="C146" s="78" t="n"/>
      <c r="D146" s="78" t="n"/>
      <c r="E146" s="78" t="n"/>
      <c r="F146" s="128" t="n"/>
      <c r="G146" s="2" t="n"/>
      <c r="H146" s="2" t="n"/>
      <c r="I146" s="2" t="n"/>
      <c r="J146" s="2" t="n"/>
    </row>
    <row r="147">
      <c r="A147" s="2" t="n"/>
      <c r="B147" s="84" t="n"/>
      <c r="C147" s="78" t="n"/>
      <c r="D147" s="78" t="n"/>
      <c r="E147" s="78" t="n"/>
      <c r="F147" s="128" t="n"/>
      <c r="G147" s="2" t="n"/>
      <c r="H147" s="2" t="n"/>
      <c r="I147" s="2" t="n"/>
      <c r="J147" s="2" t="n"/>
    </row>
    <row r="148">
      <c r="A148" s="2" t="n"/>
      <c r="B148" s="84" t="n"/>
      <c r="C148" s="78" t="n"/>
      <c r="D148" s="78" t="n"/>
      <c r="E148" s="78" t="n"/>
      <c r="F148" s="128" t="n"/>
      <c r="G148" s="2" t="n"/>
      <c r="H148" s="2" t="n"/>
      <c r="I148" s="2" t="n"/>
      <c r="J148" s="2" t="n"/>
    </row>
    <row r="149">
      <c r="A149" s="2" t="n"/>
      <c r="B149" s="84" t="n"/>
      <c r="C149" s="78" t="n"/>
      <c r="D149" s="78" t="n"/>
      <c r="E149" s="78" t="n"/>
      <c r="F149" s="128" t="n"/>
      <c r="G149" s="2" t="n"/>
      <c r="H149" s="2" t="n"/>
      <c r="I149" s="2" t="n"/>
      <c r="J149" s="2" t="n"/>
    </row>
    <row r="150">
      <c r="A150" s="2" t="n"/>
      <c r="B150" s="84" t="n"/>
      <c r="C150" s="78" t="n"/>
      <c r="D150" s="78" t="n"/>
      <c r="E150" s="78" t="n"/>
      <c r="F150" s="128" t="n"/>
      <c r="G150" s="2" t="n"/>
      <c r="H150" s="2" t="n"/>
      <c r="I150" s="2" t="n"/>
      <c r="J150" s="2" t="n"/>
    </row>
    <row r="151">
      <c r="A151" s="2" t="n"/>
      <c r="B151" s="84" t="n"/>
      <c r="C151" s="78" t="n"/>
      <c r="D151" s="78" t="n"/>
      <c r="E151" s="78" t="n"/>
      <c r="F151" s="128" t="n"/>
      <c r="G151" s="2" t="n"/>
      <c r="H151" s="2" t="n"/>
      <c r="I151" s="2" t="n"/>
      <c r="J151" s="2" t="n"/>
    </row>
    <row r="152">
      <c r="A152" s="2" t="n"/>
      <c r="B152" s="84" t="n"/>
      <c r="C152" s="78" t="n"/>
      <c r="D152" s="78" t="n"/>
      <c r="E152" s="78" t="n"/>
      <c r="F152" s="128" t="n"/>
      <c r="G152" s="2" t="n"/>
      <c r="H152" s="2" t="n"/>
      <c r="I152" s="2" t="n"/>
      <c r="J152" s="2" t="n"/>
    </row>
    <row r="153">
      <c r="A153" s="2" t="n"/>
      <c r="B153" s="84" t="n"/>
      <c r="C153" s="78" t="n"/>
      <c r="D153" s="78" t="n"/>
      <c r="E153" s="78" t="n"/>
      <c r="F153" s="128" t="n"/>
      <c r="G153" s="2" t="n"/>
      <c r="H153" s="2" t="n"/>
      <c r="I153" s="2" t="n"/>
      <c r="J153" s="2" t="n"/>
    </row>
    <row r="154">
      <c r="A154" s="2" t="n"/>
      <c r="B154" s="84" t="n"/>
      <c r="C154" s="78" t="n"/>
      <c r="D154" s="78" t="n"/>
      <c r="E154" s="78" t="n"/>
      <c r="F154" s="128" t="n"/>
      <c r="G154" s="2" t="n"/>
      <c r="H154" s="2" t="n"/>
      <c r="I154" s="2" t="n"/>
      <c r="J154" s="2" t="n"/>
    </row>
    <row r="155">
      <c r="A155" s="2" t="n"/>
      <c r="B155" s="84" t="n"/>
      <c r="C155" s="78" t="n"/>
      <c r="D155" s="78" t="n"/>
      <c r="E155" s="78" t="n"/>
      <c r="F155" s="128" t="n"/>
      <c r="G155" s="2" t="n"/>
      <c r="H155" s="2" t="n"/>
      <c r="I155" s="2" t="n"/>
      <c r="J155" s="2" t="n"/>
    </row>
    <row r="156">
      <c r="A156" s="2" t="n"/>
      <c r="B156" s="84" t="n"/>
      <c r="C156" s="78" t="n"/>
      <c r="D156" s="78" t="n"/>
      <c r="E156" s="78" t="n"/>
      <c r="F156" s="128" t="n"/>
      <c r="G156" s="2" t="n"/>
      <c r="H156" s="2" t="n"/>
      <c r="I156" s="2" t="n"/>
      <c r="J156" s="2" t="n"/>
    </row>
    <row r="157">
      <c r="A157" s="2" t="n"/>
      <c r="B157" s="84" t="n"/>
      <c r="C157" s="78" t="n"/>
      <c r="D157" s="78" t="n"/>
      <c r="E157" s="78" t="n"/>
      <c r="F157" s="128" t="n"/>
      <c r="G157" s="2" t="n"/>
      <c r="H157" s="2" t="n"/>
      <c r="I157" s="2" t="n"/>
      <c r="J157" s="2" t="n"/>
    </row>
    <row r="158">
      <c r="A158" s="2" t="n"/>
      <c r="B158" s="84" t="n"/>
      <c r="C158" s="78" t="n"/>
      <c r="D158" s="78" t="n"/>
      <c r="E158" s="78" t="n"/>
      <c r="F158" s="128" t="n"/>
      <c r="G158" s="2" t="n"/>
      <c r="H158" s="2" t="n"/>
      <c r="I158" s="2" t="n"/>
      <c r="J158" s="2" t="n"/>
    </row>
    <row r="159">
      <c r="A159" s="2" t="n"/>
      <c r="B159" s="84" t="n"/>
      <c r="C159" s="78" t="n"/>
      <c r="D159" s="78" t="n"/>
      <c r="E159" s="78" t="n"/>
      <c r="F159" s="128" t="n"/>
      <c r="G159" s="2" t="n"/>
      <c r="H159" s="2" t="n"/>
      <c r="I159" s="2" t="n"/>
      <c r="J159" s="2" t="n"/>
    </row>
    <row r="160">
      <c r="A160" s="2" t="n"/>
      <c r="B160" s="2" t="n"/>
      <c r="C160" s="2" t="n"/>
      <c r="D160" s="2" t="n"/>
      <c r="E160" s="2" t="n"/>
      <c r="F160" s="2" t="n"/>
      <c r="G160" s="2" t="n"/>
      <c r="H160" s="2" t="n"/>
      <c r="I160" s="2" t="n"/>
      <c r="J160" s="2" t="n"/>
    </row>
    <row r="161">
      <c r="A161" s="2" t="n"/>
      <c r="B161" s="2" t="n"/>
      <c r="C161" s="2" t="n"/>
      <c r="D161" s="2" t="n"/>
      <c r="E161" s="2" t="n"/>
      <c r="F161" s="2" t="n"/>
      <c r="G161" s="2" t="n"/>
      <c r="H161" s="2" t="n"/>
      <c r="I161" s="2" t="n"/>
      <c r="J161" s="2" t="n"/>
    </row>
    <row r="162">
      <c r="A162" s="2" t="n"/>
      <c r="B162" s="2" t="n"/>
      <c r="C162" s="2" t="n"/>
      <c r="D162" s="2" t="n"/>
      <c r="E162" s="2" t="n"/>
      <c r="F162" s="2" t="n"/>
      <c r="G162" s="2" t="n"/>
      <c r="H162" s="2" t="n"/>
      <c r="I162" s="2" t="n"/>
      <c r="J162" s="2" t="n"/>
    </row>
    <row r="163">
      <c r="A163" s="2" t="n"/>
      <c r="B163" s="2" t="n"/>
      <c r="C163" s="2" t="n"/>
      <c r="D163" s="2" t="n"/>
      <c r="E163" s="2" t="n"/>
      <c r="F163" s="2" t="n"/>
      <c r="G163" s="2" t="n"/>
      <c r="H163" s="2" t="n"/>
      <c r="I163" s="2" t="n"/>
      <c r="J163" s="2" t="n"/>
    </row>
    <row r="164">
      <c r="A164" s="2" t="n"/>
      <c r="B164" s="2" t="n"/>
      <c r="C164" s="2" t="n"/>
      <c r="D164" s="2" t="n"/>
      <c r="E164" s="2" t="n"/>
      <c r="F164" s="2" t="n"/>
      <c r="G164" s="2" t="n"/>
      <c r="H164" s="2" t="n"/>
      <c r="I164" s="2" t="n"/>
      <c r="J164" s="2" t="n"/>
    </row>
    <row r="165">
      <c r="A165" s="2" t="n"/>
      <c r="B165" s="2" t="n"/>
      <c r="C165" s="2" t="n"/>
      <c r="D165" s="2" t="n"/>
      <c r="E165" s="2" t="n"/>
      <c r="F165" s="2" t="n"/>
      <c r="G165" s="2" t="n"/>
      <c r="H165" s="2" t="n"/>
      <c r="I165" s="2" t="n"/>
      <c r="J165" s="2" t="n"/>
    </row>
  </sheetData>
  <mergeCells count="4">
    <mergeCell ref="A1:I1"/>
    <mergeCell ref="B3:I3"/>
    <mergeCell ref="H5:I5"/>
    <mergeCell ref="A2:I2"/>
  </mergeCells>
  <dataValidations count="1">
    <dataValidation sqref="I6" showDropDown="0" showInputMessage="0" showErrorMessage="0" allowBlank="1" type="list">
      <formula1>"3 CV et moins,4 CV,5 CV,6 CV,7 CV et plus"</formula1>
    </dataValidation>
  </dataValidations>
  <pageMargins left="0.75" right="0.75" top="1" bottom="1" header="0.5" footer="0.5"/>
</worksheet>
</file>

<file path=xl/worksheets/sheet13.xml><?xml version="1.0" encoding="utf-8"?>
<worksheet xmlns="http://schemas.openxmlformats.org/spreadsheetml/2006/main">
  <sheetPr>
    <tabColor rgb="008B7D6B"/>
    <outlinePr summaryBelow="1" summaryRight="1"/>
    <pageSetUpPr/>
  </sheetPr>
  <dimension ref="A1:D44"/>
  <sheetViews>
    <sheetView showGridLines="0" workbookViewId="0">
      <pane ySplit="5" topLeftCell="A6" activePane="bottomLeft" state="frozen"/>
      <selection pane="bottomLeft" activeCell="A1" sqref="A1"/>
    </sheetView>
  </sheetViews>
  <sheetFormatPr baseColWidth="8" defaultRowHeight="15"/>
  <cols>
    <col width="2.5" customWidth="1" min="1" max="1"/>
    <col width="30" customWidth="1" min="2" max="2"/>
    <col width="100" customWidth="1" min="3" max="3"/>
    <col width="3" customWidth="1" min="4" max="4"/>
  </cols>
  <sheetData>
    <row r="1" ht="30" customHeight="1">
      <c r="A1" s="1" t="inlineStr">
        <is>
          <t>📖 LEXIQUE</t>
        </is>
      </c>
      <c r="D1" s="2" t="n"/>
    </row>
    <row r="2" ht="16" customHeight="1">
      <c r="A2" s="3" t="inlineStr">
        <is>
          <t>En clair : tous les mots de la gestion expliqués simplement, avec des exemples.</t>
        </is>
      </c>
      <c r="D2" s="2" t="n"/>
    </row>
    <row r="3" ht="26" customHeight="1">
      <c r="A3" s="2" t="n"/>
      <c r="B3" s="53" t="inlineStr">
        <is>
          <t>💡 Un terme vous échappe dans le fichier ou chez votre banquier ? Il est expliqué ici, sans jargon.</t>
        </is>
      </c>
      <c r="D3" s="2" t="n"/>
    </row>
    <row r="4">
      <c r="A4" s="2" t="n"/>
      <c r="B4" s="2" t="n"/>
      <c r="C4" s="2" t="n"/>
      <c r="D4" s="2" t="n"/>
    </row>
    <row r="5">
      <c r="A5" s="2" t="n"/>
      <c r="B5" s="41" t="inlineStr">
        <is>
          <t>Terme</t>
        </is>
      </c>
      <c r="C5" s="41" t="inlineStr">
        <is>
          <t>En clair</t>
        </is>
      </c>
      <c r="D5" s="2" t="n"/>
    </row>
    <row r="6" ht="28" customHeight="1">
      <c r="A6" s="2" t="n"/>
      <c r="B6" s="129" t="inlineStr">
        <is>
          <t>HT / TTC</t>
        </is>
      </c>
      <c r="C6" s="130" t="inlineStr">
        <is>
          <t>HT = hors taxes, TTC = toutes taxes comprises. Ex. : 1 000 € HT à 20 % de TVA = 1 200 € TTC.</t>
        </is>
      </c>
      <c r="D6" s="2" t="n"/>
    </row>
    <row r="7" ht="28" customHeight="1">
      <c r="A7" s="2" t="n"/>
      <c r="B7" s="131" t="inlineStr">
        <is>
          <t>TVA collectée</t>
        </is>
      </c>
      <c r="C7" s="48" t="inlineStr">
        <is>
          <t>La TVA que vous facturez à vos clients pour le compte de l'État. Ex. : sur une facture de 1 200 € TTC à 20 %, la TVA collectée est de 200 €.</t>
        </is>
      </c>
      <c r="D7" s="2" t="n"/>
    </row>
    <row r="8" ht="28" customHeight="1">
      <c r="A8" s="2" t="n"/>
      <c r="B8" s="129" t="inlineStr">
        <is>
          <t>TVA déductible</t>
        </is>
      </c>
      <c r="C8" s="130" t="inlineStr">
        <is>
          <t>La TVA payée sur vos achats professionnels, que vous pouvez récupérer. Ex. : 24 € de TVA sur un logiciel à 120 € HT.</t>
        </is>
      </c>
      <c r="D8" s="2" t="n"/>
    </row>
    <row r="9" ht="28" customHeight="1">
      <c r="A9" s="2" t="n"/>
      <c r="B9" s="131" t="inlineStr">
        <is>
          <t>TVA à décaisser</t>
        </is>
      </c>
      <c r="C9" s="48" t="inlineStr">
        <is>
          <t>TVA collectée − TVA déductible = ce que vous reversez réellement à l'État.</t>
        </is>
      </c>
      <c r="D9" s="2" t="n"/>
    </row>
    <row r="10" ht="28" customHeight="1">
      <c r="A10" s="2" t="n"/>
      <c r="B10" s="129" t="inlineStr">
        <is>
          <t>Franchise en base de TVA</t>
        </is>
      </c>
      <c r="C10" s="130" t="inlineStr">
        <is>
          <t>Régime où vous ne facturez pas de TVA (sous certains seuils de CA). Plus simple, mais TVA non récupérable sur vos achats.</t>
        </is>
      </c>
      <c r="D10" s="2" t="n"/>
    </row>
    <row r="11" ht="28" customHeight="1">
      <c r="A11" s="2" t="n"/>
      <c r="B11" s="131" t="inlineStr">
        <is>
          <t>Réel simplifié</t>
        </is>
      </c>
      <c r="C11" s="48" t="inlineStr">
        <is>
          <t>Régime de TVA avec 2 acomptes par an (juillet et décembre) et une déclaration annuelle (CA12).</t>
        </is>
      </c>
      <c r="D11" s="2" t="n"/>
    </row>
    <row r="12" ht="28" customHeight="1">
      <c r="A12" s="2" t="n"/>
      <c r="B12" s="129" t="inlineStr">
        <is>
          <t>Réel normal</t>
        </is>
      </c>
      <c r="C12" s="130" t="inlineStr">
        <is>
          <t>Régime de TVA avec déclaration et paiement chaque mois (ou chaque trimestre).</t>
        </is>
      </c>
      <c r="D12" s="2" t="n"/>
    </row>
    <row r="13" ht="28" customHeight="1">
      <c r="A13" s="2" t="n"/>
      <c r="B13" s="131" t="inlineStr">
        <is>
          <t>IS (impôt sur les sociétés)</t>
        </is>
      </c>
      <c r="C13" s="48" t="inlineStr">
        <is>
          <t>L'impôt payé par la société sur ses bénéfices : 15 % jusqu'à 42 500 € sous conditions, 25 % au-delà (taux indicatifs, modifiables en ⚙️ Paramètres).</t>
        </is>
      </c>
      <c r="D13" s="2" t="n"/>
    </row>
    <row r="14" ht="28" customHeight="1">
      <c r="A14" s="2" t="n"/>
      <c r="B14" s="129" t="inlineStr">
        <is>
          <t>Acompte</t>
        </is>
      </c>
      <c r="C14" s="130" t="inlineStr">
        <is>
          <t>Un paiement anticipé. L'IS se paie en 4 acomptes trimestriels, régularisés l'année suivante.</t>
        </is>
      </c>
      <c r="D14" s="2" t="n"/>
    </row>
    <row r="15" ht="28" customHeight="1">
      <c r="A15" s="2" t="n"/>
      <c r="B15" s="131" t="inlineStr">
        <is>
          <t>CFE</t>
        </is>
      </c>
      <c r="C15" s="48" t="inlineStr">
        <is>
          <t>Cotisation foncière des entreprises : taxe locale annuelle due par presque toutes les sociétés, payée au 15 décembre.</t>
        </is>
      </c>
      <c r="D15" s="2" t="n"/>
    </row>
    <row r="16" ht="28" customHeight="1">
      <c r="A16" s="2" t="n"/>
      <c r="B16" s="129" t="inlineStr">
        <is>
          <t>URSSAF</t>
        </is>
      </c>
      <c r="C16" s="130" t="inlineStr">
        <is>
          <t>L'organisme qui collecte les cotisations sociales (retraite, maladie, famille…).</t>
        </is>
      </c>
      <c r="D16" s="2" t="n"/>
    </row>
    <row r="17" ht="28" customHeight="1">
      <c r="A17" s="2" t="n"/>
      <c r="B17" s="131" t="inlineStr">
        <is>
          <t>Cotisations sociales</t>
        </is>
      </c>
      <c r="C17" s="48" t="inlineStr">
        <is>
          <t>Les prélèvements calculés sur la rémunération, qui financent votre protection sociale.</t>
        </is>
      </c>
      <c r="D17" s="2" t="n"/>
    </row>
    <row r="18" ht="28" customHeight="1">
      <c r="A18" s="2" t="n"/>
      <c r="B18" s="129" t="inlineStr">
        <is>
          <t>Assimilé salarié</t>
        </is>
      </c>
      <c r="C18" s="130" t="inlineStr">
        <is>
          <t>Statut du président de SASU : protection sociale proche de celle d'un salarié, cotisations plus élevées (≈ 82 % du net, indicatif).</t>
        </is>
      </c>
      <c r="D18" s="2" t="n"/>
    </row>
    <row r="19" ht="28" customHeight="1">
      <c r="A19" s="2" t="n"/>
      <c r="B19" s="131" t="inlineStr">
        <is>
          <t>TNS</t>
        </is>
      </c>
      <c r="C19" s="48" t="inlineStr">
        <is>
          <t>Travailleur non salarié : statut du gérant majoritaire de SARL. Cotisations plus faibles (≈ 45 % du net, indicatif), protection différente.</t>
        </is>
      </c>
      <c r="D19" s="2" t="n"/>
    </row>
    <row r="20" ht="28" customHeight="1">
      <c r="A20" s="2" t="n"/>
      <c r="B20" s="129" t="inlineStr">
        <is>
          <t>Charge déductible</t>
        </is>
      </c>
      <c r="C20" s="130" t="inlineStr">
        <is>
          <t>Une dépense professionnelle qui réduit votre bénéfice imposable. Ex. : logiciel, loyer, honoraires.</t>
        </is>
      </c>
      <c r="D20" s="2" t="n"/>
    </row>
    <row r="21" ht="28" customHeight="1">
      <c r="A21" s="2" t="n"/>
      <c r="B21" s="131" t="inlineStr">
        <is>
          <t>Amortissement</t>
        </is>
      </c>
      <c r="C21" s="48" t="inlineStr">
        <is>
          <t>Étaler le coût d'un gros achat (ordinateur, véhicule…) sur plusieurs années comptables.</t>
        </is>
      </c>
      <c r="D21" s="2" t="n"/>
    </row>
    <row r="22" ht="28" customHeight="1">
      <c r="A22" s="2" t="n"/>
      <c r="B22" s="129" t="inlineStr">
        <is>
          <t>Immobilisation</t>
        </is>
      </c>
      <c r="C22" s="130" t="inlineStr">
        <is>
          <t>Un bien durable acheté par l'entreprise, qui s'amortit sur plusieurs années au lieu de passer en charge d'un coup.</t>
        </is>
      </c>
      <c r="D22" s="2" t="n"/>
    </row>
    <row r="23" ht="28" customHeight="1">
      <c r="A23" s="2" t="n"/>
      <c r="B23" s="131" t="inlineStr">
        <is>
          <t>Trésorerie</t>
        </is>
      </c>
      <c r="C23" s="48" t="inlineStr">
        <is>
          <t>L'argent réellement disponible sur le compte de la société. On peut être rentable et à sec : surveillez-la.</t>
        </is>
      </c>
      <c r="D23" s="2" t="n"/>
    </row>
    <row r="24" ht="28" customHeight="1">
      <c r="A24" s="2" t="n"/>
      <c r="B24" s="129" t="inlineStr">
        <is>
          <t>Runway</t>
        </is>
      </c>
      <c r="C24" s="130" t="inlineStr">
        <is>
          <t>Le nombre de mois pendant lesquels vous pouvez tenir avec la trésorerie actuelle, au rythme de dépenses actuel.</t>
        </is>
      </c>
      <c r="D24" s="2" t="n"/>
    </row>
    <row r="25" ht="28" customHeight="1">
      <c r="A25" s="2" t="n"/>
      <c r="B25" s="131" t="inlineStr">
        <is>
          <t>BFR</t>
        </is>
      </c>
      <c r="C25" s="48" t="inlineStr">
        <is>
          <t>Besoin en fonds de roulement : l'argent immobilisé entre le moment où vous payez vos charges et celui où vos clients vous paient.</t>
        </is>
      </c>
      <c r="D25" s="2" t="n"/>
    </row>
    <row r="26" ht="28" customHeight="1">
      <c r="A26" s="2" t="n"/>
      <c r="B26" s="129" t="inlineStr">
        <is>
          <t>Marge nette</t>
        </is>
      </c>
      <c r="C26" s="130" t="inlineStr">
        <is>
          <t>Résultat ÷ chiffre d'affaires. Ex. : 12 000 € de résultat pour 100 000 € de CA = 12 % de marge nette.</t>
        </is>
      </c>
      <c r="D26" s="2" t="n"/>
    </row>
    <row r="27" ht="28" customHeight="1">
      <c r="A27" s="2" t="n"/>
      <c r="B27" s="131" t="inlineStr">
        <is>
          <t>Seuil de rentabilité</t>
        </is>
      </c>
      <c r="C27" s="48" t="inlineStr">
        <is>
          <t>Le chiffre d'affaires minimum pour couvrir toutes vos charges. En dessous, vous perdez de l'argent.</t>
        </is>
      </c>
      <c r="D27" s="2" t="n"/>
    </row>
    <row r="28" ht="28" customHeight="1">
      <c r="A28" s="2" t="n"/>
      <c r="B28" s="129" t="inlineStr">
        <is>
          <t>Prévisionnel</t>
        </is>
      </c>
      <c r="C28" s="130" t="inlineStr">
        <is>
          <t>Ce que vous prévoyez (votre budget). Le « réalisé », c'est ce qui s'est vraiment passé.</t>
        </is>
      </c>
      <c r="D28" s="2" t="n"/>
    </row>
    <row r="29" ht="28" customHeight="1">
      <c r="A29" s="2" t="n"/>
      <c r="B29" s="131" t="inlineStr">
        <is>
          <t>Écart</t>
        </is>
      </c>
      <c r="C29" s="48" t="inlineStr">
        <is>
          <t>Réalisé − prévu. Dans ce fichier, un écart positif est toujours favorable.</t>
        </is>
      </c>
      <c r="D29" s="2" t="n"/>
    </row>
    <row r="30" ht="28" customHeight="1">
      <c r="A30" s="2" t="n"/>
      <c r="B30" s="129" t="inlineStr">
        <is>
          <t>Provision</t>
        </is>
      </c>
      <c r="C30" s="130" t="inlineStr">
        <is>
          <t>De l'argent mis de côté pour une dépense certaine à venir (TVA, URSSAF, IS…). La clé pour dormir tranquille.</t>
        </is>
      </c>
      <c r="D30" s="2" t="n"/>
    </row>
    <row r="31" ht="28" customHeight="1">
      <c r="A31" s="2" t="n"/>
      <c r="B31" s="131" t="inlineStr">
        <is>
          <t>Dividende</t>
        </is>
      </c>
      <c r="C31" s="48" t="inlineStr">
        <is>
          <t>La part du bénéfice (après IS) versée aux associés, soumise à la flat tax.</t>
        </is>
      </c>
      <c r="D31" s="2" t="n"/>
    </row>
    <row r="32" ht="28" customHeight="1">
      <c r="A32" s="2" t="n"/>
      <c r="B32" s="129" t="inlineStr">
        <is>
          <t>Flat tax (PFU)</t>
        </is>
      </c>
      <c r="C32" s="130" t="inlineStr">
        <is>
          <t>Prélèvement forfaitaire unique de 30 % (indicatif) sur les dividendes : impôt + prélèvements sociaux en une fois.</t>
        </is>
      </c>
      <c r="D32" s="2" t="n"/>
    </row>
    <row r="33" ht="28" customHeight="1">
      <c r="A33" s="2" t="n"/>
      <c r="B33" s="131" t="inlineStr">
        <is>
          <t>Exercice</t>
        </is>
      </c>
      <c r="C33" s="48" t="inlineStr">
        <is>
          <t>La période comptable de 12 mois de la société, souvent l'année civile.</t>
        </is>
      </c>
      <c r="D33" s="2" t="n"/>
    </row>
    <row r="34" ht="28" customHeight="1">
      <c r="A34" s="2" t="n"/>
      <c r="B34" s="129" t="inlineStr">
        <is>
          <t>Note de frais</t>
        </is>
      </c>
      <c r="C34" s="130" t="inlineStr">
        <is>
          <t>Le document qui permet de vous faire rembourser une dépense professionnelle payée avec votre argent personnel.</t>
        </is>
      </c>
      <c r="D34" s="2" t="n"/>
    </row>
    <row r="35" ht="28" customHeight="1">
      <c r="A35" s="2" t="n"/>
      <c r="B35" s="131" t="inlineStr">
        <is>
          <t>Indemnité kilométrique</t>
        </is>
      </c>
      <c r="C35" s="48" t="inlineStr">
        <is>
          <t>Remboursement forfaitaire de vos trajets professionnels effectués avec votre véhicule personnel, selon le barème officiel.</t>
        </is>
      </c>
      <c r="D35" s="2" t="n"/>
    </row>
    <row r="36" ht="28" customHeight="1">
      <c r="A36" s="2" t="n"/>
      <c r="B36" s="129" t="inlineStr">
        <is>
          <t>Comptabilité d'engagement</t>
        </is>
      </c>
      <c r="C36" s="130" t="inlineStr">
        <is>
          <t>On enregistre les factures à leur date d'émission, pas à leur date de paiement (contraire : comptabilité de trésorerie).</t>
        </is>
      </c>
      <c r="D36" s="2" t="n"/>
    </row>
    <row r="37" ht="28" customHeight="1">
      <c r="A37" s="2" t="n"/>
      <c r="B37" s="131" t="inlineStr">
        <is>
          <t>Rapprochement bancaire</t>
        </is>
      </c>
      <c r="C37" s="48" t="inlineStr">
        <is>
          <t>Vérifier que votre suivi correspond bien, ligne à ligne, au relevé de la banque.</t>
        </is>
      </c>
      <c r="D37" s="2" t="n"/>
    </row>
    <row r="38">
      <c r="A38" s="2" t="n"/>
      <c r="B38" s="2" t="n"/>
      <c r="C38" s="2" t="n"/>
      <c r="D38" s="2" t="n"/>
    </row>
    <row r="39">
      <c r="A39" s="2" t="n"/>
      <c r="B39" s="2" t="n"/>
      <c r="C39" s="2" t="n"/>
      <c r="D39" s="2" t="n"/>
    </row>
    <row r="40">
      <c r="A40" s="2" t="n"/>
      <c r="B40" s="2" t="n"/>
      <c r="C40" s="2" t="n"/>
      <c r="D40" s="2" t="n"/>
    </row>
    <row r="41">
      <c r="A41" s="2" t="n"/>
      <c r="B41" s="2" t="n"/>
      <c r="C41" s="2" t="n"/>
      <c r="D41" s="2" t="n"/>
    </row>
    <row r="42">
      <c r="A42" s="2" t="n"/>
      <c r="B42" s="2" t="n"/>
      <c r="C42" s="2" t="n"/>
      <c r="D42" s="2" t="n"/>
    </row>
    <row r="43">
      <c r="A43" s="2" t="n"/>
      <c r="B43" s="2" t="n"/>
      <c r="C43" s="2" t="n"/>
      <c r="D43" s="2" t="n"/>
    </row>
    <row r="44">
      <c r="A44" s="2" t="n"/>
      <c r="B44" s="2" t="n"/>
      <c r="C44" s="2" t="n"/>
      <c r="D44" s="2" t="n"/>
    </row>
  </sheetData>
  <mergeCells count="3">
    <mergeCell ref="A1:C1"/>
    <mergeCell ref="B3:C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 Fabrique Astucieuse</dc:creator>
  <dc:title>Gestion SASU/SARL 2026</dc:title>
  <dc:description>Tableau de bord financier complet pour SASU et SARL : budget, recettes, dépenses, trésorerie, TVA, IS, URSSAF, CFE et indemnités kilométriques.</dc:description>
  <dcterms:created xsi:type="dcterms:W3CDTF">2026-07-02T20:15:57Z</dcterms:created>
  <dcterms:modified xsi:type="dcterms:W3CDTF">2026-07-02T20:15:58Z</dcterms:modified>
</cp:coreProperties>
</file>